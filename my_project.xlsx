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D:\journey\excel\"/>
    </mc:Choice>
  </mc:AlternateContent>
  <xr:revisionPtr revIDLastSave="0" documentId="13_ncr:1_{52AD98CE-6A1D-47BB-B9A5-59AB9AE3CF96}" xr6:coauthVersionLast="47" xr6:coauthVersionMax="47" xr10:uidLastSave="{00000000-0000-0000-0000-000000000000}"/>
  <bookViews>
    <workbookView xWindow="-110" yWindow="-110" windowWidth="19420" windowHeight="12220" xr2:uid="{36837235-DCC4-4DF5-8D92-4139DD91D842}"/>
  </bookViews>
  <sheets>
    <sheet name="Dashboard" sheetId="6" r:id="rId1"/>
    <sheet name="Analysis" sheetId="2" r:id="rId2"/>
    <sheet name="Sheet1" sheetId="3" r:id="rId3"/>
    <sheet name="Sheet3" sheetId="7" r:id="rId4"/>
    <sheet name="Sheet5" sheetId="9" r:id="rId5"/>
    <sheet name="sales_data" sheetId="1" r:id="rId6"/>
  </sheets>
  <definedNames>
    <definedName name="Slicer_Category">#N/A</definedName>
    <definedName name="Slicer_Region">#N/A</definedName>
  </definedNames>
  <calcPr calcId="191029"/>
  <pivotCaches>
    <pivotCache cacheId="0" r:id="rId7"/>
    <pivotCache cacheId="1" r:id="rId8"/>
  </pivotCaches>
  <extLst>
    <ext xmlns:x14="http://schemas.microsoft.com/office/spreadsheetml/2009/9/main" uri="{BBE1A952-AA13-448e-AADC-164F8A28A991}">
      <x14:slicerCaches>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1" i="3" l="1"/>
  <c r="L16" i="1"/>
  <c r="E5" i="3"/>
  <c r="E4" i="3"/>
  <c r="E4" i="6"/>
  <c r="C4" i="6"/>
  <c r="G4" i="6" s="1"/>
  <c r="A4" i="6"/>
</calcChain>
</file>

<file path=xl/sharedStrings.xml><?xml version="1.0" encoding="utf-8"?>
<sst xmlns="http://schemas.openxmlformats.org/spreadsheetml/2006/main" count="167" uniqueCount="80">
  <si>
    <t>Order_ID</t>
  </si>
  <si>
    <t>Date</t>
  </si>
  <si>
    <t>Customer</t>
  </si>
  <si>
    <t>Region</t>
  </si>
  <si>
    <t>Category</t>
  </si>
  <si>
    <t>Product</t>
  </si>
  <si>
    <t>Quantity</t>
  </si>
  <si>
    <t>Unit_Price</t>
  </si>
  <si>
    <t>Discount</t>
  </si>
  <si>
    <t>Payment</t>
  </si>
  <si>
    <t>ORD001</t>
  </si>
  <si>
    <t>Rahul</t>
  </si>
  <si>
    <t>West</t>
  </si>
  <si>
    <t>Electronics</t>
  </si>
  <si>
    <t>Mouse</t>
  </si>
  <si>
    <t>UPI</t>
  </si>
  <si>
    <t>ORD002</t>
  </si>
  <si>
    <t>Priya</t>
  </si>
  <si>
    <t>South</t>
  </si>
  <si>
    <t>Clothing</t>
  </si>
  <si>
    <t>T-Shirt</t>
  </si>
  <si>
    <t>Card</t>
  </si>
  <si>
    <t>ORD003</t>
  </si>
  <si>
    <t>Amit</t>
  </si>
  <si>
    <t>Keyboard</t>
  </si>
  <si>
    <t>ORD004</t>
  </si>
  <si>
    <t>Sneha</t>
  </si>
  <si>
    <t>North</t>
  </si>
  <si>
    <t>Grocery</t>
  </si>
  <si>
    <t>Rice</t>
  </si>
  <si>
    <t>Cash</t>
  </si>
  <si>
    <t>ORD005</t>
  </si>
  <si>
    <t>Karan</t>
  </si>
  <si>
    <t>East</t>
  </si>
  <si>
    <t>Jeans</t>
  </si>
  <si>
    <t>ORD006</t>
  </si>
  <si>
    <t>Neha</t>
  </si>
  <si>
    <t>Headphones</t>
  </si>
  <si>
    <t>ORD007</t>
  </si>
  <si>
    <t>Rohit</t>
  </si>
  <si>
    <t>Oil</t>
  </si>
  <si>
    <t>ORD008</t>
  </si>
  <si>
    <t>Pooja</t>
  </si>
  <si>
    <t>ORD009</t>
  </si>
  <si>
    <t>Arjun</t>
  </si>
  <si>
    <t>ORD010</t>
  </si>
  <si>
    <t>Riya</t>
  </si>
  <si>
    <t>ORD011</t>
  </si>
  <si>
    <t>Aditya</t>
  </si>
  <si>
    <t>ORD012</t>
  </si>
  <si>
    <t>Anjali</t>
  </si>
  <si>
    <t>ORD013</t>
  </si>
  <si>
    <t>Vikram</t>
  </si>
  <si>
    <t>ORD014</t>
  </si>
  <si>
    <t>Simran</t>
  </si>
  <si>
    <t>Cost_Price</t>
  </si>
  <si>
    <t>Sales_Amount</t>
  </si>
  <si>
    <t>Total_Cost</t>
  </si>
  <si>
    <t>Profit</t>
  </si>
  <si>
    <t>Profit_Margin</t>
  </si>
  <si>
    <t>Profit_Category</t>
  </si>
  <si>
    <t>Low Profit</t>
  </si>
  <si>
    <t>High Profit</t>
  </si>
  <si>
    <t>Total Sales</t>
  </si>
  <si>
    <t>Order Count</t>
  </si>
  <si>
    <t>Total Profit</t>
  </si>
  <si>
    <t>Avg Profit/Order</t>
  </si>
  <si>
    <t>Row Labels</t>
  </si>
  <si>
    <t>Grand Total</t>
  </si>
  <si>
    <t>Sum of Sales_Amount</t>
  </si>
  <si>
    <t>Sum of Profit</t>
  </si>
  <si>
    <t>Count of Order_ID</t>
  </si>
  <si>
    <t>E-COMMERCE SALES DASHBOARD</t>
  </si>
  <si>
    <t>TOTAL SALES</t>
  </si>
  <si>
    <t>TOTAL PROFIT</t>
  </si>
  <si>
    <t>TOTAL ORDERS</t>
  </si>
  <si>
    <t>OVERALL PROFIT MARGIN</t>
  </si>
  <si>
    <t>(All)</t>
  </si>
  <si>
    <t>profit margin</t>
  </si>
  <si>
    <t>AOV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</si>
</sst>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6" formatCode="&quot;₹&quot;\ #,##0;[Red]&quot;₹&quot;\ \-#,##0"/>
    <numFmt numFmtId="8" formatCode="&quot;₹&quot;\ #,##0.00;[Red]&quot;₹&quot;\ \-#,##0.00"/>
    <numFmt numFmtId="164" formatCode="&quot;₹&quot;\ #,##0.00"/>
  </numFmts>
  <fonts count="6" x14ac:knownFonts="1">
    <font>
      <sz val="11"/>
      <color theme="1"/>
      <name val="Aptos Narrow"/>
      <family val="2"/>
      <scheme val="minor"/>
    </font>
    <font>
      <b/>
      <sz val="11"/>
      <color theme="1"/>
      <name val="Aptos Narrow"/>
      <family val="2"/>
      <scheme val="minor"/>
    </font>
    <font>
      <b/>
      <sz val="18"/>
      <color theme="1"/>
      <name val="Aptos Narrow"/>
      <family val="2"/>
      <scheme val="minor"/>
    </font>
    <font>
      <b/>
      <sz val="12"/>
      <color theme="1"/>
      <name val="Aptos Narrow"/>
      <family val="2"/>
      <scheme val="minor"/>
    </font>
    <font>
      <sz val="20"/>
      <color theme="1"/>
      <name val="Aptos Narrow"/>
      <family val="2"/>
      <scheme val="minor"/>
    </font>
    <font>
      <sz val="11"/>
      <color theme="1"/>
      <name val="Aptos Narrow"/>
      <family val="2"/>
      <scheme val="minor"/>
    </font>
  </fonts>
  <fills count="4">
    <fill>
      <patternFill patternType="none"/>
    </fill>
    <fill>
      <patternFill patternType="gray125"/>
    </fill>
    <fill>
      <patternFill patternType="solid">
        <fgColor theme="5" tint="0.79998168889431442"/>
        <bgColor indexed="64"/>
      </patternFill>
    </fill>
    <fill>
      <patternFill patternType="solid">
        <fgColor theme="3" tint="0.89999084444715716"/>
        <bgColor indexed="64"/>
      </patternFill>
    </fill>
  </fills>
  <borders count="1">
    <border>
      <left/>
      <right/>
      <top/>
      <bottom/>
      <diagonal/>
    </border>
  </borders>
  <cellStyleXfs count="2">
    <xf numFmtId="0" fontId="0" fillId="0" borderId="0"/>
    <xf numFmtId="9" fontId="5" fillId="0" borderId="0" applyFont="0" applyFill="0" applyBorder="0" applyAlignment="0" applyProtection="0"/>
  </cellStyleXfs>
  <cellXfs count="23">
    <xf numFmtId="0" fontId="0" fillId="0" borderId="0" xfId="0"/>
    <xf numFmtId="0" fontId="1" fillId="0" borderId="0" xfId="0" applyFont="1" applyAlignment="1">
      <alignment horizontal="center" vertical="center" wrapText="1"/>
    </xf>
    <xf numFmtId="0" fontId="0" fillId="0" borderId="0" xfId="0" applyAlignment="1">
      <alignment horizontal="right" vertical="center" wrapText="1"/>
    </xf>
    <xf numFmtId="0" fontId="1" fillId="0" borderId="0" xfId="0" applyFont="1" applyAlignment="1">
      <alignment horizontal="right" vertical="center" wrapText="1"/>
    </xf>
    <xf numFmtId="0" fontId="0" fillId="0" borderId="0" xfId="0" applyAlignment="1">
      <alignment vertical="center" wrapText="1"/>
    </xf>
    <xf numFmtId="14" fontId="0" fillId="0" borderId="0" xfId="0" applyNumberFormat="1" applyAlignment="1">
      <alignment vertical="center" wrapText="1"/>
    </xf>
    <xf numFmtId="6" fontId="0" fillId="0" borderId="0" xfId="0" applyNumberFormat="1" applyAlignment="1">
      <alignment horizontal="right" vertical="center" wrapText="1"/>
    </xf>
    <xf numFmtId="10" fontId="0" fillId="0" borderId="0" xfId="0" applyNumberFormat="1" applyAlignment="1">
      <alignment horizontal="right" vertical="center" wrapText="1"/>
    </xf>
    <xf numFmtId="8" fontId="0" fillId="0" borderId="0" xfId="0" applyNumberFormat="1" applyAlignment="1">
      <alignment horizontal="right" vertical="center" wrapText="1"/>
    </xf>
    <xf numFmtId="0" fontId="0" fillId="0" borderId="0" xfId="0" pivotButton="1"/>
    <xf numFmtId="0" fontId="0" fillId="0" borderId="0" xfId="0" applyAlignment="1">
      <alignment horizontal="left"/>
    </xf>
    <xf numFmtId="10" fontId="0" fillId="0" borderId="0" xfId="0" applyNumberFormat="1"/>
    <xf numFmtId="0" fontId="1" fillId="0" borderId="0" xfId="0" applyFont="1"/>
    <xf numFmtId="14" fontId="0" fillId="0" borderId="0" xfId="0" applyNumberFormat="1" applyAlignment="1">
      <alignment horizontal="left"/>
    </xf>
    <xf numFmtId="0" fontId="0" fillId="0" borderId="0" xfId="0" applyNumberFormat="1"/>
    <xf numFmtId="0" fontId="3" fillId="2" borderId="0" xfId="0" applyFont="1" applyFill="1" applyAlignment="1">
      <alignment vertical="center" wrapText="1"/>
    </xf>
    <xf numFmtId="164" fontId="4" fillId="2" borderId="0" xfId="0" applyNumberFormat="1" applyFont="1" applyFill="1"/>
    <xf numFmtId="0" fontId="1" fillId="2" borderId="0" xfId="0" applyFont="1" applyFill="1" applyAlignment="1">
      <alignment vertical="center" wrapText="1"/>
    </xf>
    <xf numFmtId="0" fontId="1" fillId="2" borderId="0" xfId="0" applyFont="1" applyFill="1"/>
    <xf numFmtId="0" fontId="4" fillId="2" borderId="0" xfId="0" applyFont="1" applyFill="1"/>
    <xf numFmtId="10" fontId="4" fillId="2" borderId="0" xfId="0" applyNumberFormat="1" applyFont="1" applyFill="1"/>
    <xf numFmtId="0" fontId="2" fillId="3" borderId="0" xfId="0" applyFont="1" applyFill="1" applyAlignment="1">
      <alignment horizontal="center" vertical="center" wrapText="1"/>
    </xf>
    <xf numFmtId="9" fontId="0" fillId="0" borderId="0" xfId="1" applyFont="1"/>
  </cellXfs>
  <cellStyles count="2">
    <cellStyle name="Normal" xfId="0" builtinId="0"/>
    <cellStyle name="Percent" xfId="1" builtinId="5"/>
  </cellStyles>
  <dxfs count="34">
    <dxf>
      <alignment horizontal="general" vertical="center" textRotation="0" wrapText="1" indent="0" justifyLastLine="0" shrinkToFit="0" readingOrder="0"/>
    </dxf>
    <dxf>
      <numFmt numFmtId="14" formatCode="0.00%"/>
      <alignment horizontal="right" vertical="center" textRotation="0" wrapText="1" indent="0" justifyLastLine="0" shrinkToFit="0" readingOrder="0"/>
    </dxf>
    <dxf>
      <alignment horizontal="right" vertical="center" textRotation="0" wrapText="1" indent="0" justifyLastLine="0" shrinkToFit="0" readingOrder="0"/>
    </dxf>
    <dxf>
      <alignment horizontal="right" vertical="center" textRotation="0" wrapText="1" indent="0" justifyLastLine="0" shrinkToFit="0" readingOrder="0"/>
    </dxf>
    <dxf>
      <alignment horizontal="right" vertical="center" textRotation="0" wrapText="1" indent="0" justifyLastLine="0" shrinkToFit="0" readingOrder="0"/>
    </dxf>
    <dxf>
      <alignment horizontal="general" vertical="center" textRotation="0" wrapText="1" indent="0" justifyLastLine="0" shrinkToFit="0" readingOrder="0"/>
    </dxf>
    <dxf>
      <alignment horizontal="right" vertical="center" textRotation="0" wrapText="1" indent="0" justifyLastLine="0" shrinkToFit="0" readingOrder="0"/>
    </dxf>
    <dxf>
      <alignment horizontal="right" vertical="center" textRotation="0" wrapText="1" indent="0" justifyLastLine="0" shrinkToFit="0" readingOrder="0"/>
    </dxf>
    <dxf>
      <alignment horizontal="right" vertical="center" textRotation="0" wrapText="1" indent="0" justifyLastLine="0" shrinkToFit="0" readingOrder="0"/>
    </dxf>
    <dxf>
      <alignment horizontal="right"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numFmt numFmtId="19" formatCode="dd/mm/yyyy"/>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numFmt numFmtId="14" formatCode="0.00%"/>
      <alignment horizontal="right" vertical="center" textRotation="0" wrapText="1" indent="0" justifyLastLine="0" shrinkToFit="0" readingOrder="0"/>
    </dxf>
    <dxf>
      <alignment horizontal="right" vertical="center" textRotation="0" wrapText="1" indent="0" justifyLastLine="0" shrinkToFit="0" readingOrder="0"/>
    </dxf>
    <dxf>
      <alignment horizontal="right" vertical="center" textRotation="0" wrapText="1" indent="0" justifyLastLine="0" shrinkToFit="0" readingOrder="0"/>
    </dxf>
    <dxf>
      <alignment horizontal="right" vertical="center" textRotation="0" wrapText="1" indent="0" justifyLastLine="0" shrinkToFit="0" readingOrder="0"/>
    </dxf>
    <dxf>
      <alignment horizontal="general" vertical="center" textRotation="0" wrapText="1" indent="0" justifyLastLine="0" shrinkToFit="0" readingOrder="0"/>
    </dxf>
    <dxf>
      <alignment horizontal="right" vertical="center" textRotation="0" wrapText="1" indent="0" justifyLastLine="0" shrinkToFit="0" readingOrder="0"/>
    </dxf>
    <dxf>
      <alignment horizontal="right" vertical="center" textRotation="0" wrapText="1" indent="0" justifyLastLine="0" shrinkToFit="0" readingOrder="0"/>
    </dxf>
    <dxf>
      <alignment horizontal="right" vertical="center" textRotation="0" wrapText="1" indent="0" justifyLastLine="0" shrinkToFit="0" readingOrder="0"/>
    </dxf>
    <dxf>
      <alignment horizontal="right"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numFmt numFmtId="19" formatCode="dd/mm/yyyy"/>
      <alignment horizontal="general" vertical="center" textRotation="0" wrapText="1" indent="0" justifyLastLine="0" shrinkToFit="0" readingOrder="0"/>
    </dxf>
    <dxf>
      <alignment horizontal="general" vertical="center" textRotation="0" wrapText="1" indent="0" justifyLastLine="0" shrinkToFit="0" readingOrder="0"/>
    </dxf>
    <dxf>
      <alignment horizontal="right" vertical="center" textRotation="0" wrapText="1" indent="0" justifyLastLine="0" shrinkToFit="0" readingOrder="0"/>
    </dxf>
    <dxf>
      <font>
        <b/>
        <i val="0"/>
        <strike val="0"/>
        <condense val="0"/>
        <extend val="0"/>
        <outline val="0"/>
        <shadow val="0"/>
        <u val="none"/>
        <vertAlign val="baseline"/>
        <sz val="11"/>
        <color theme="1"/>
        <name val="Aptos Narrow"/>
        <family val="2"/>
        <scheme val="minor"/>
      </font>
      <alignment horizontal="right"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chart>
    <c:title>
      <c:tx>
        <c:rich>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r>
              <a:rPr lang="en-US"/>
              <a:t>Sales Performance by Category</a:t>
            </a:r>
          </a:p>
        </c:rich>
      </c:tx>
      <c:overlay val="0"/>
      <c:spPr>
        <a:noFill/>
        <a:ln>
          <a:noFill/>
        </a:ln>
        <a:effectLst/>
      </c:spPr>
      <c:txPr>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endParaRPr lang="en-US"/>
        </a:p>
      </c:txPr>
    </c:title>
    <c:autoTitleDeleted val="0"/>
    <c:pivotFmts>
      <c:pivotFmt>
        <c:idx val="0"/>
        <c:spPr>
          <a:gradFill>
            <a:gsLst>
              <a:gs pos="0">
                <a:schemeClr val="accent4"/>
              </a:gs>
              <a:gs pos="100000">
                <a:schemeClr val="accent4">
                  <a:lumMod val="84000"/>
                </a:schemeClr>
              </a:gs>
            </a:gsLst>
            <a:lin ang="5400000" scaled="1"/>
          </a:gra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a:gsLst>
              <a:gs pos="0">
                <a:schemeClr val="accent4"/>
              </a:gs>
              <a:gs pos="100000">
                <a:schemeClr val="accent4">
                  <a:lumMod val="84000"/>
                </a:schemeClr>
              </a:gs>
            </a:gsLst>
            <a:lin ang="5400000" scaled="1"/>
          </a:gra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accent4"/>
              </a:gs>
              <a:gs pos="100000">
                <a:schemeClr val="accent4">
                  <a:lumMod val="84000"/>
                </a:schemeClr>
              </a:gs>
            </a:gsLst>
            <a:lin ang="5400000" scaled="1"/>
          </a:gra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gradFill>
            <a:gsLst>
              <a:gs pos="0">
                <a:schemeClr val="accent4"/>
              </a:gs>
              <a:gs pos="100000">
                <a:schemeClr val="accent4">
                  <a:lumMod val="84000"/>
                </a:schemeClr>
              </a:gs>
            </a:gsLst>
            <a:lin ang="5400000" scaled="1"/>
          </a:gra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1807820508375243E-2"/>
          <c:y val="0.21242799542183746"/>
          <c:w val="0.87105431026956082"/>
          <c:h val="0.654076301313397"/>
        </c:manualLayout>
      </c:layout>
      <c:barChart>
        <c:barDir val="col"/>
        <c:grouping val="clustered"/>
        <c:varyColors val="0"/>
        <c:ser>
          <c:idx val="0"/>
          <c:order val="0"/>
          <c:tx>
            <c:v>Total</c:v>
          </c:tx>
          <c:spPr>
            <a:gradFill>
              <a:gsLst>
                <a:gs pos="0">
                  <a:schemeClr val="accent4"/>
                </a:gs>
                <a:gs pos="100000">
                  <a:schemeClr val="accent4">
                    <a:lumMod val="84000"/>
                  </a:schemeClr>
                </a:gs>
              </a:gsLst>
              <a:lin ang="5400000" scaled="1"/>
            </a:gra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Lit>
              <c:ptCount val="3"/>
              <c:pt idx="0">
                <c:v>Clothing</c:v>
              </c:pt>
              <c:pt idx="1">
                <c:v>Electronics</c:v>
              </c:pt>
              <c:pt idx="2">
                <c:v>Grocery</c:v>
              </c:pt>
            </c:strLit>
          </c:cat>
          <c:val>
            <c:numLit>
              <c:formatCode>General</c:formatCode>
              <c:ptCount val="3"/>
              <c:pt idx="0">
                <c:v>7580</c:v>
              </c:pt>
              <c:pt idx="1">
                <c:v>11070</c:v>
              </c:pt>
              <c:pt idx="2">
                <c:v>11270</c:v>
              </c:pt>
            </c:numLit>
          </c:val>
          <c:extLst>
            <c:ext xmlns:c16="http://schemas.microsoft.com/office/drawing/2014/chart" uri="{C3380CC4-5D6E-409C-BE32-E72D297353CC}">
              <c16:uniqueId val="{00000002-39AC-45FE-8A70-5B365FC25CB9}"/>
            </c:ext>
          </c:extLst>
        </c:ser>
        <c:dLbls>
          <c:dLblPos val="inEnd"/>
          <c:showLegendKey val="0"/>
          <c:showVal val="1"/>
          <c:showCatName val="0"/>
          <c:showSerName val="0"/>
          <c:showPercent val="0"/>
          <c:showBubbleSize val="0"/>
        </c:dLbls>
        <c:gapWidth val="41"/>
        <c:axId val="1924861616"/>
        <c:axId val="1647105552"/>
      </c:barChart>
      <c:catAx>
        <c:axId val="192486161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effectLst/>
                <a:latin typeface="+mn-lt"/>
                <a:ea typeface="+mn-ea"/>
                <a:cs typeface="+mn-cs"/>
              </a:defRPr>
            </a:pPr>
            <a:endParaRPr lang="en-US"/>
          </a:p>
        </c:txPr>
        <c:crossAx val="1647105552"/>
        <c:crosses val="autoZero"/>
        <c:auto val="1"/>
        <c:lblAlgn val="ctr"/>
        <c:lblOffset val="100"/>
        <c:noMultiLvlLbl val="0"/>
      </c:catAx>
      <c:valAx>
        <c:axId val="1647105552"/>
        <c:scaling>
          <c:orientation val="minMax"/>
        </c:scaling>
        <c:delete val="1"/>
        <c:axPos val="l"/>
        <c:numFmt formatCode="General" sourceLinked="1"/>
        <c:majorTickMark val="none"/>
        <c:minorTickMark val="none"/>
        <c:tickLblPos val="nextTo"/>
        <c:crossAx val="1924861616"/>
        <c:crosses val="autoZero"/>
        <c:crossBetween val="between"/>
      </c:valAx>
      <c:spPr>
        <a:noFill/>
        <a:ln>
          <a:noFill/>
        </a:ln>
        <a:effectLst/>
      </c:spPr>
    </c:plotArea>
    <c:plotVisOnly val="1"/>
    <c:dispBlanksAs val="gap"/>
    <c:showDLblsOverMax val="0"/>
  </c:chart>
  <c:spPr>
    <a:solidFill>
      <a:schemeClr val="bg1">
        <a:lumMod val="9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chart>
    <c:title>
      <c:tx>
        <c:rich>
          <a:bodyPr rot="0" spcFirstLastPara="1" vertOverflow="ellipsis" vert="horz" wrap="square" anchor="ctr" anchorCtr="1"/>
          <a:lstStyle/>
          <a:p>
            <a:pPr>
              <a:defRPr b="0" i="0" u="none" strike="noStrike" kern="1200" baseline="0">
                <a:solidFill>
                  <a:schemeClr val="dk1"/>
                </a:solidFill>
                <a:effectLst/>
                <a:latin typeface="+mn-lt"/>
                <a:ea typeface="+mn-ea"/>
                <a:cs typeface="+mn-cs"/>
              </a:defRPr>
            </a:pPr>
            <a:r>
              <a:rPr lang="en-US"/>
              <a:t>Profit Performance by Product</a:t>
            </a:r>
          </a:p>
          <a:p>
            <a:pPr>
              <a:defRPr/>
            </a:pPr>
            <a:endParaRPr lang="en-US"/>
          </a:p>
        </c:rich>
      </c:tx>
      <c:layout>
        <c:manualLayout>
          <c:xMode val="edge"/>
          <c:yMode val="edge"/>
          <c:x val="0.25135411198600177"/>
          <c:y val="2.3148148148148147E-2"/>
        </c:manualLayout>
      </c:layout>
      <c:overlay val="0"/>
      <c:spPr>
        <a:solidFill>
          <a:schemeClr val="bg1">
            <a:lumMod val="95000"/>
          </a:schemeClr>
        </a:solidFill>
        <a:ln w="19050" cap="flat" cmpd="sng" algn="ctr">
          <a:solidFill>
            <a:schemeClr val="bg1"/>
          </a:solidFill>
          <a:prstDash val="solid"/>
          <a:miter lim="800000"/>
        </a:ln>
        <a:effectLst/>
      </c:spPr>
      <c:txPr>
        <a:bodyPr rot="0" spcFirstLastPara="1" vertOverflow="ellipsis" vert="horz" wrap="square" anchor="ctr" anchorCtr="1"/>
        <a:lstStyle/>
        <a:p>
          <a:pPr>
            <a:defRPr b="0" i="0" u="none" strike="noStrike" kern="1200" baseline="0">
              <a:solidFill>
                <a:schemeClr val="dk1"/>
              </a:solidFill>
              <a:effectLst/>
              <a:latin typeface="+mn-lt"/>
              <a:ea typeface="+mn-ea"/>
              <a:cs typeface="+mn-cs"/>
            </a:defRPr>
          </a:pPr>
          <a:endParaRPr lang="en-US"/>
        </a:p>
      </c:txPr>
    </c:title>
    <c:autoTitleDeleted val="0"/>
    <c:plotArea>
      <c:layout>
        <c:manualLayout>
          <c:layoutTarget val="inner"/>
          <c:xMode val="edge"/>
          <c:yMode val="edge"/>
          <c:x val="7.8203538548541757E-2"/>
          <c:y val="0.20432713842371025"/>
          <c:w val="0.87718700494919088"/>
          <c:h val="0.50747482354449247"/>
        </c:manualLayout>
      </c:layout>
      <c:barChart>
        <c:barDir val="col"/>
        <c:grouping val="clustered"/>
        <c:varyColors val="0"/>
        <c:ser>
          <c:idx val="0"/>
          <c:order val="0"/>
          <c:spPr>
            <a:gradFill>
              <a:gsLst>
                <a:gs pos="0">
                  <a:schemeClr val="accent4"/>
                </a:gs>
                <a:gs pos="100000">
                  <a:schemeClr val="accent4">
                    <a:lumMod val="84000"/>
                  </a:schemeClr>
                </a:gs>
              </a:gsLst>
              <a:lin ang="5400000" scaled="1"/>
            </a:gra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anchor="ctr" anchorCtr="1"/>
              <a:lstStyle/>
              <a:p>
                <a:pPr>
                  <a:defRPr sz="1000" b="1" i="0" u="none" strike="noStrike" kern="1200" baseline="0">
                    <a:solidFill>
                      <a:schemeClr val="dk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Sheet1!$C$19:$C$25</c:f>
              <c:strCache>
                <c:ptCount val="7"/>
                <c:pt idx="0">
                  <c:v>Headphones</c:v>
                </c:pt>
                <c:pt idx="1">
                  <c:v>Jeans</c:v>
                </c:pt>
                <c:pt idx="2">
                  <c:v>Keyboard</c:v>
                </c:pt>
                <c:pt idx="3">
                  <c:v>Mouse</c:v>
                </c:pt>
                <c:pt idx="4">
                  <c:v>Oil</c:v>
                </c:pt>
                <c:pt idx="5">
                  <c:v>Rice</c:v>
                </c:pt>
                <c:pt idx="6">
                  <c:v>T-Shirt</c:v>
                </c:pt>
              </c:strCache>
            </c:strRef>
          </c:cat>
          <c:val>
            <c:numRef>
              <c:f>Sheet1!$D$19:$D$25</c:f>
              <c:numCache>
                <c:formatCode>General</c:formatCode>
                <c:ptCount val="7"/>
                <c:pt idx="0">
                  <c:v>1000</c:v>
                </c:pt>
                <c:pt idx="1">
                  <c:v>1200</c:v>
                </c:pt>
                <c:pt idx="2">
                  <c:v>1170</c:v>
                </c:pt>
                <c:pt idx="3">
                  <c:v>950</c:v>
                </c:pt>
                <c:pt idx="4">
                  <c:v>1150</c:v>
                </c:pt>
                <c:pt idx="5">
                  <c:v>780</c:v>
                </c:pt>
                <c:pt idx="6">
                  <c:v>1430</c:v>
                </c:pt>
              </c:numCache>
            </c:numRef>
          </c:val>
          <c:extLst>
            <c:ext xmlns:c16="http://schemas.microsoft.com/office/drawing/2014/chart" uri="{C3380CC4-5D6E-409C-BE32-E72D297353CC}">
              <c16:uniqueId val="{00000000-CCB6-4EA1-AEA2-E423B75B7848}"/>
            </c:ext>
          </c:extLst>
        </c:ser>
        <c:dLbls>
          <c:dLblPos val="inEnd"/>
          <c:showLegendKey val="0"/>
          <c:showVal val="1"/>
          <c:showCatName val="0"/>
          <c:showSerName val="0"/>
          <c:showPercent val="0"/>
          <c:showBubbleSize val="0"/>
        </c:dLbls>
        <c:gapWidth val="41"/>
        <c:axId val="1718879216"/>
        <c:axId val="1303956720"/>
      </c:barChart>
      <c:catAx>
        <c:axId val="171887921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effectLst/>
                <a:latin typeface="+mn-lt"/>
                <a:ea typeface="+mn-ea"/>
                <a:cs typeface="+mn-cs"/>
              </a:defRPr>
            </a:pPr>
            <a:endParaRPr lang="en-US"/>
          </a:p>
        </c:txPr>
        <c:crossAx val="1303956720"/>
        <c:crosses val="autoZero"/>
        <c:auto val="1"/>
        <c:lblAlgn val="ctr"/>
        <c:lblOffset val="100"/>
        <c:noMultiLvlLbl val="0"/>
      </c:catAx>
      <c:valAx>
        <c:axId val="1303956720"/>
        <c:scaling>
          <c:orientation val="minMax"/>
        </c:scaling>
        <c:delete val="1"/>
        <c:axPos val="l"/>
        <c:numFmt formatCode="General" sourceLinked="1"/>
        <c:majorTickMark val="none"/>
        <c:minorTickMark val="none"/>
        <c:tickLblPos val="nextTo"/>
        <c:crossAx val="1718879216"/>
        <c:crosses val="autoZero"/>
        <c:crossBetween val="between"/>
      </c:valAx>
      <c:spPr>
        <a:noFill/>
        <a:ln>
          <a:noFill/>
        </a:ln>
        <a:effectLst/>
      </c:spPr>
    </c:plotArea>
    <c:plotVisOnly val="1"/>
    <c:dispBlanksAs val="gap"/>
    <c:showDLblsOverMax val="0"/>
  </c:chart>
  <c:spPr>
    <a:solidFill>
      <a:schemeClr val="bg1">
        <a:lumMod val="95000"/>
      </a:schemeClr>
    </a:solidFill>
    <a:ln w="9525" cap="flat" cmpd="sng" algn="ctr">
      <a:solidFill>
        <a:schemeClr val="dk1"/>
      </a:solidFill>
      <a:prstDash val="solid"/>
      <a:round/>
      <a:headEnd type="none" w="med" len="med"/>
      <a:tailEnd type="none" w="med" len="med"/>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[my_project.xlsx]Sheet5!PivotTable23</c:name>
    <c:fmtId val="3"/>
  </c:pivotSource>
  <c:chart>
    <c:title>
      <c:tx>
        <c:rich>
          <a:bodyPr rot="0" spcFirstLastPara="1" vertOverflow="ellipsis" vert="horz" wrap="square" anchor="ctr" anchorCtr="1"/>
          <a:lstStyle/>
          <a:p>
            <a:pPr>
              <a:defRPr sz="14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r>
              <a:rPr lang="en-US"/>
              <a:t>Daily Sales Trend — January 2026</a:t>
            </a:r>
          </a:p>
          <a:p>
            <a:pPr>
              <a:defRPr/>
            </a:pPr>
            <a:endParaRPr lang="en-US"/>
          </a:p>
        </c:rich>
      </c:tx>
      <c:layout>
        <c:manualLayout>
          <c:xMode val="edge"/>
          <c:yMode val="edge"/>
          <c:x val="0.22772799479081315"/>
          <c:y val="0.11460226604404412"/>
        </c:manualLayout>
      </c:layout>
      <c:overlay val="0"/>
      <c:spPr>
        <a:noFill/>
        <a:ln>
          <a:noFill/>
        </a:ln>
        <a:effectLst/>
      </c:spPr>
      <c:txPr>
        <a:bodyPr rot="0" spcFirstLastPara="1" vertOverflow="ellipsis" vert="horz" wrap="square" anchor="ctr" anchorCtr="1"/>
        <a:lstStyle/>
        <a:p>
          <a:pPr>
            <a:defRPr sz="14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Sheet5!$B$3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Sheet5!$A$4:$A$18</c:f>
              <c:strCache>
                <c:ptCount val="14"/>
                <c:pt idx="0">
                  <c:v>01-01-2026</c:v>
                </c:pt>
                <c:pt idx="1">
                  <c:v>02-01-2026</c:v>
                </c:pt>
                <c:pt idx="2">
                  <c:v>03-01-2026</c:v>
                </c:pt>
                <c:pt idx="3">
                  <c:v>05-01-2026</c:v>
                </c:pt>
                <c:pt idx="4">
                  <c:v>07-01-2026</c:v>
                </c:pt>
                <c:pt idx="5">
                  <c:v>10-01-2026</c:v>
                </c:pt>
                <c:pt idx="6">
                  <c:v>12-01-2026</c:v>
                </c:pt>
                <c:pt idx="7">
                  <c:v>15-01-2026</c:v>
                </c:pt>
                <c:pt idx="8">
                  <c:v>18-01-2026</c:v>
                </c:pt>
                <c:pt idx="9">
                  <c:v>20-01-2026</c:v>
                </c:pt>
                <c:pt idx="10">
                  <c:v>23-01-2026</c:v>
                </c:pt>
                <c:pt idx="11">
                  <c:v>25-01-2026</c:v>
                </c:pt>
                <c:pt idx="12">
                  <c:v>28-01-2026</c:v>
                </c:pt>
                <c:pt idx="13">
                  <c:v>30-01-2026</c:v>
                </c:pt>
              </c:strCache>
            </c:strRef>
          </c:cat>
          <c:val>
            <c:numRef>
              <c:f>Sheet5!$B$4:$B$18</c:f>
              <c:numCache>
                <c:formatCode>General</c:formatCode>
                <c:ptCount val="14"/>
                <c:pt idx="0">
                  <c:v>950</c:v>
                </c:pt>
                <c:pt idx="1">
                  <c:v>2160</c:v>
                </c:pt>
                <c:pt idx="2">
                  <c:v>1140</c:v>
                </c:pt>
                <c:pt idx="3">
                  <c:v>3000</c:v>
                </c:pt>
                <c:pt idx="4">
                  <c:v>2550</c:v>
                </c:pt>
                <c:pt idx="5">
                  <c:v>1800</c:v>
                </c:pt>
                <c:pt idx="6">
                  <c:v>2660</c:v>
                </c:pt>
                <c:pt idx="7">
                  <c:v>1500</c:v>
                </c:pt>
                <c:pt idx="8">
                  <c:v>1520</c:v>
                </c:pt>
                <c:pt idx="9">
                  <c:v>1620</c:v>
                </c:pt>
                <c:pt idx="10">
                  <c:v>2280</c:v>
                </c:pt>
                <c:pt idx="11">
                  <c:v>1350</c:v>
                </c:pt>
                <c:pt idx="12">
                  <c:v>3990</c:v>
                </c:pt>
                <c:pt idx="13">
                  <c:v>3400</c:v>
                </c:pt>
              </c:numCache>
            </c:numRef>
          </c:val>
          <c:smooth val="0"/>
          <c:extLst>
            <c:ext xmlns:c16="http://schemas.microsoft.com/office/drawing/2014/chart" uri="{C3380CC4-5D6E-409C-BE32-E72D297353CC}">
              <c16:uniqueId val="{00000000-FF4D-485F-885B-085E09BE37CE}"/>
            </c:ext>
          </c:extLst>
        </c:ser>
        <c:dLbls>
          <c:showLegendKey val="0"/>
          <c:showVal val="0"/>
          <c:showCatName val="0"/>
          <c:showSerName val="0"/>
          <c:showPercent val="0"/>
          <c:showBubbleSize val="0"/>
        </c:dLbls>
        <c:marker val="1"/>
        <c:smooth val="0"/>
        <c:axId val="2138020208"/>
        <c:axId val="1647147792"/>
      </c:lineChart>
      <c:catAx>
        <c:axId val="21380202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1647147792"/>
        <c:crosses val="autoZero"/>
        <c:auto val="1"/>
        <c:lblAlgn val="ctr"/>
        <c:lblOffset val="100"/>
        <c:noMultiLvlLbl val="0"/>
      </c:catAx>
      <c:valAx>
        <c:axId val="16471477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21380202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tx1">
          <a:lumMod val="15000"/>
          <a:lumOff val="85000"/>
        </a:schemeClr>
      </a:solidFill>
      <a:round/>
    </a:ln>
    <a:effectLst/>
  </c:spPr>
  <c:txPr>
    <a:bodyPr/>
    <a:lstStyle/>
    <a:p>
      <a:pPr>
        <a:defRPr b="0" cap="none" spc="0">
          <a:ln w="0"/>
          <a:solidFill>
            <a:schemeClr val="tx1"/>
          </a:solidFill>
          <a:effectLst>
            <a:outerShdw blurRad="38100" dist="19050" dir="2700000" algn="tl" rotWithShape="0">
              <a:schemeClr val="dk1">
                <a:alpha val="40000"/>
              </a:schemeClr>
            </a:outerShdw>
          </a:effectLst>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7">
  <a:schemeClr val="accent4"/>
</cs:colorStyle>
</file>

<file path=xl/charts/colors2.xml><?xml version="1.0" encoding="utf-8"?>
<cs:colorStyle xmlns:cs="http://schemas.microsoft.com/office/drawing/2012/chartStyle" xmlns:a="http://schemas.openxmlformats.org/drawingml/2006/main" meth="withinLinear" id="17">
  <a:schemeClr val="accent4"/>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41777</xdr:colOff>
      <xdr:row>5</xdr:row>
      <xdr:rowOff>8356</xdr:rowOff>
    </xdr:from>
    <xdr:to>
      <xdr:col>3</xdr:col>
      <xdr:colOff>1</xdr:colOff>
      <xdr:row>19</xdr:row>
      <xdr:rowOff>175461</xdr:rowOff>
    </xdr:to>
    <xdr:graphicFrame macro="">
      <xdr:nvGraphicFramePr>
        <xdr:cNvPr id="3" name="Chart 2">
          <a:extLst>
            <a:ext uri="{FF2B5EF4-FFF2-40B4-BE49-F238E27FC236}">
              <a16:creationId xmlns:a16="http://schemas.microsoft.com/office/drawing/2014/main" id="{170171AA-1C73-4963-BBE3-14AFBD91A2C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471417</xdr:colOff>
      <xdr:row>4</xdr:row>
      <xdr:rowOff>175461</xdr:rowOff>
    </xdr:from>
    <xdr:to>
      <xdr:col>16</xdr:col>
      <xdr:colOff>147031</xdr:colOff>
      <xdr:row>19</xdr:row>
      <xdr:rowOff>164242</xdr:rowOff>
    </xdr:to>
    <xdr:graphicFrame macro="">
      <xdr:nvGraphicFramePr>
        <xdr:cNvPr id="4" name="Chart 3">
          <a:extLst>
            <a:ext uri="{FF2B5EF4-FFF2-40B4-BE49-F238E27FC236}">
              <a16:creationId xmlns:a16="http://schemas.microsoft.com/office/drawing/2014/main" id="{9189B836-071A-4216-93B2-1257B19EE06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242301</xdr:colOff>
      <xdr:row>20</xdr:row>
      <xdr:rowOff>91909</xdr:rowOff>
    </xdr:from>
    <xdr:to>
      <xdr:col>8</xdr:col>
      <xdr:colOff>348765</xdr:colOff>
      <xdr:row>35</xdr:row>
      <xdr:rowOff>80691</xdr:rowOff>
    </xdr:to>
    <xdr:graphicFrame macro="">
      <xdr:nvGraphicFramePr>
        <xdr:cNvPr id="5" name="Chart 4">
          <a:extLst>
            <a:ext uri="{FF2B5EF4-FFF2-40B4-BE49-F238E27FC236}">
              <a16:creationId xmlns:a16="http://schemas.microsoft.com/office/drawing/2014/main" id="{048EDE99-50EA-4AA2-831F-67E2CC83C8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3</xdr:col>
      <xdr:colOff>75197</xdr:colOff>
      <xdr:row>5</xdr:row>
      <xdr:rowOff>50132</xdr:rowOff>
    </xdr:from>
    <xdr:to>
      <xdr:col>6</xdr:col>
      <xdr:colOff>158749</xdr:colOff>
      <xdr:row>20</xdr:row>
      <xdr:rowOff>75197</xdr:rowOff>
    </xdr:to>
    <mc:AlternateContent xmlns:mc="http://schemas.openxmlformats.org/markup-compatibility/2006">
      <mc:Choice xmlns:a14="http://schemas.microsoft.com/office/drawing/2010/main" Requires="a14">
        <xdr:graphicFrame macro="">
          <xdr:nvGraphicFramePr>
            <xdr:cNvPr id="2" name="Region">
              <a:extLst>
                <a:ext uri="{FF2B5EF4-FFF2-40B4-BE49-F238E27FC236}">
                  <a16:creationId xmlns:a16="http://schemas.microsoft.com/office/drawing/2014/main" id="{82DB38A3-A24A-4A0A-9176-46B51E4BD291}"/>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4904539" y="2088816"/>
              <a:ext cx="2406315" cy="278230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225592</xdr:colOff>
      <xdr:row>5</xdr:row>
      <xdr:rowOff>33421</xdr:rowOff>
    </xdr:from>
    <xdr:to>
      <xdr:col>8</xdr:col>
      <xdr:colOff>342566</xdr:colOff>
      <xdr:row>20</xdr:row>
      <xdr:rowOff>66842</xdr:rowOff>
    </xdr:to>
    <mc:AlternateContent xmlns:mc="http://schemas.openxmlformats.org/markup-compatibility/2006">
      <mc:Choice xmlns:a14="http://schemas.microsoft.com/office/drawing/2010/main" Requires="a14">
        <xdr:graphicFrame macro="">
          <xdr:nvGraphicFramePr>
            <xdr:cNvPr id="6" name="Category">
              <a:extLst>
                <a:ext uri="{FF2B5EF4-FFF2-40B4-BE49-F238E27FC236}">
                  <a16:creationId xmlns:a16="http://schemas.microsoft.com/office/drawing/2014/main" id="{348BED36-9823-4A75-B5A3-244C77937714}"/>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7377697" y="2072105"/>
              <a:ext cx="2264277" cy="279065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tharva dinnapurkar" refreshedDate="46301.918059027776" createdVersion="8" refreshedVersion="8" minRefreshableVersion="3" recordCount="14" xr:uid="{538318FB-6322-44E3-8EF0-9A3A3C1C864C}">
  <cacheSource type="worksheet">
    <worksheetSource name="Table1"/>
  </cacheSource>
  <cacheFields count="16">
    <cacheField name="Order_ID" numFmtId="0">
      <sharedItems/>
    </cacheField>
    <cacheField name="Date" numFmtId="14">
      <sharedItems containsSemiMixedTypes="0" containsNonDate="0" containsDate="1" containsString="0" minDate="2026-01-01T00:00:00" maxDate="2026-01-31T00:00:00" count="14">
        <d v="2026-01-01T00:00:00"/>
        <d v="2026-01-02T00:00:00"/>
        <d v="2026-01-03T00:00:00"/>
        <d v="2026-01-05T00:00:00"/>
        <d v="2026-01-07T00:00:00"/>
        <d v="2026-01-10T00:00:00"/>
        <d v="2026-01-12T00:00:00"/>
        <d v="2026-01-15T00:00:00"/>
        <d v="2026-01-18T00:00:00"/>
        <d v="2026-01-20T00:00:00"/>
        <d v="2026-01-23T00:00:00"/>
        <d v="2026-01-25T00:00:00"/>
        <d v="2026-01-28T00:00:00"/>
        <d v="2026-01-30T00:00:00"/>
      </sharedItems>
    </cacheField>
    <cacheField name="Customer" numFmtId="0">
      <sharedItems/>
    </cacheField>
    <cacheField name="Region" numFmtId="0">
      <sharedItems count="4">
        <s v="West"/>
        <s v="South"/>
        <s v="North"/>
        <s v="East"/>
      </sharedItems>
    </cacheField>
    <cacheField name="Category" numFmtId="0">
      <sharedItems count="3">
        <s v="Electronics"/>
        <s v="Clothing"/>
        <s v="Grocery"/>
      </sharedItems>
    </cacheField>
    <cacheField name="Product" numFmtId="0">
      <sharedItems count="7">
        <s v="Mouse"/>
        <s v="T-Shirt"/>
        <s v="Keyboard"/>
        <s v="Rice"/>
        <s v="Jeans"/>
        <s v="Headphones"/>
        <s v="Oil"/>
      </sharedItems>
    </cacheField>
    <cacheField name="Quantity" numFmtId="0">
      <sharedItems containsSemiMixedTypes="0" containsString="0" containsNumber="1" containsInteger="1" minValue="1" maxValue="6"/>
    </cacheField>
    <cacheField name="Unit_Price" numFmtId="0">
      <sharedItems containsSemiMixedTypes="0" containsString="0" containsNumber="1" containsInteger="1" minValue="500" maxValue="2000"/>
    </cacheField>
    <cacheField name="Cost_Price" numFmtId="0">
      <sharedItems containsSemiMixedTypes="0" containsString="0" containsNumber="1" containsInteger="1" minValue="300" maxValue="1400"/>
    </cacheField>
    <cacheField name="Discount" numFmtId="0">
      <sharedItems containsSemiMixedTypes="0" containsString="0" containsNumber="1" minValue="0" maxValue="0.15"/>
    </cacheField>
    <cacheField name="Payment" numFmtId="0">
      <sharedItems count="3">
        <s v="UPI"/>
        <s v="Card"/>
        <s v="Cash"/>
      </sharedItems>
    </cacheField>
    <cacheField name="Sales_Amount" numFmtId="0">
      <sharedItems containsSemiMixedTypes="0" containsString="0" containsNumber="1" containsInteger="1" minValue="950" maxValue="3990"/>
    </cacheField>
    <cacheField name="Total_Cost" numFmtId="0">
      <sharedItems containsSemiMixedTypes="0" containsString="0" containsNumber="1" containsInteger="1" minValue="600" maxValue="3300"/>
    </cacheField>
    <cacheField name="Profit" numFmtId="0">
      <sharedItems containsSemiMixedTypes="0" containsString="0" containsNumber="1" containsInteger="1" minValue="180" maxValue="810"/>
    </cacheField>
    <cacheField name="Profit_Margin" numFmtId="10">
      <sharedItems containsSemiMixedTypes="0" containsString="0" containsNumber="1" minValue="0.1111" maxValue="0.40789999999999998"/>
    </cacheField>
    <cacheField name="Profit_Category" numFmtId="0">
      <sharedItems/>
    </cacheField>
  </cacheFields>
  <extLst>
    <ext xmlns:x14="http://schemas.microsoft.com/office/spreadsheetml/2009/9/main" uri="{725AE2AE-9491-48be-B2B4-4EB974FC3084}">
      <x14:pivotCacheDefinition pivotCacheId="214483020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tharva dinnapurkar" refreshedDate="46304.944382291666" createdVersion="8" refreshedVersion="8" minRefreshableVersion="3" recordCount="14" xr:uid="{6268B8E6-427D-4FD5-B239-601BEC3A7FF6}">
  <cacheSource type="worksheet">
    <worksheetSource name="Table1"/>
  </cacheSource>
  <cacheFields count="16">
    <cacheField name="Order_ID" numFmtId="0">
      <sharedItems/>
    </cacheField>
    <cacheField name="Date" numFmtId="14">
      <sharedItems containsSemiMixedTypes="0" containsNonDate="0" containsDate="1" containsString="0" minDate="2026-01-01T00:00:00" maxDate="2026-01-31T00:00:00"/>
    </cacheField>
    <cacheField name="Customer" numFmtId="0">
      <sharedItems/>
    </cacheField>
    <cacheField name="Region" numFmtId="0">
      <sharedItems/>
    </cacheField>
    <cacheField name="Category" numFmtId="0">
      <sharedItems count="3">
        <s v="Electronics"/>
        <s v="Clothing"/>
        <s v="Grocery"/>
      </sharedItems>
    </cacheField>
    <cacheField name="Product" numFmtId="0">
      <sharedItems/>
    </cacheField>
    <cacheField name="Quantity" numFmtId="0">
      <sharedItems containsSemiMixedTypes="0" containsString="0" containsNumber="1" containsInteger="1" minValue="1" maxValue="6"/>
    </cacheField>
    <cacheField name="Unit_Price" numFmtId="0">
      <sharedItems containsSemiMixedTypes="0" containsString="0" containsNumber="1" containsInteger="1" minValue="500" maxValue="2000"/>
    </cacheField>
    <cacheField name="Cost_Price" numFmtId="0">
      <sharedItems containsSemiMixedTypes="0" containsString="0" containsNumber="1" containsInteger="1" minValue="300" maxValue="1400"/>
    </cacheField>
    <cacheField name="Discount" numFmtId="0">
      <sharedItems containsSemiMixedTypes="0" containsString="0" containsNumber="1" minValue="0" maxValue="0.15"/>
    </cacheField>
    <cacheField name="Payment" numFmtId="0">
      <sharedItems/>
    </cacheField>
    <cacheField name="Sales_Amount" numFmtId="0">
      <sharedItems containsSemiMixedTypes="0" containsString="0" containsNumber="1" containsInteger="1" minValue="950" maxValue="3990"/>
    </cacheField>
    <cacheField name="Total_Cost" numFmtId="0">
      <sharedItems containsSemiMixedTypes="0" containsString="0" containsNumber="1" containsInteger="1" minValue="600" maxValue="3300"/>
    </cacheField>
    <cacheField name="Profit" numFmtId="0">
      <sharedItems containsSemiMixedTypes="0" containsString="0" containsNumber="1" containsInteger="1" minValue="180" maxValue="810"/>
    </cacheField>
    <cacheField name="Profit_Margin" numFmtId="10">
      <sharedItems containsSemiMixedTypes="0" containsString="0" containsNumber="1" minValue="0.1111" maxValue="0.40789999999999998"/>
    </cacheField>
    <cacheField name="Profit_Category"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
  <r>
    <s v="ORD001"/>
    <x v="0"/>
    <s v="Rahul"/>
    <x v="0"/>
    <x v="0"/>
    <x v="0"/>
    <n v="2"/>
    <n v="500"/>
    <n v="300"/>
    <n v="0.05"/>
    <x v="0"/>
    <n v="950"/>
    <n v="600"/>
    <n v="350"/>
    <n v="0.36840000000000001"/>
    <s v="Low Profit"/>
  </r>
  <r>
    <s v="ORD002"/>
    <x v="1"/>
    <s v="Priya"/>
    <x v="1"/>
    <x v="1"/>
    <x v="1"/>
    <n v="3"/>
    <n v="800"/>
    <n v="450"/>
    <n v="0.1"/>
    <x v="1"/>
    <n v="2160"/>
    <n v="1350"/>
    <n v="810"/>
    <n v="0.375"/>
    <s v="High Profit"/>
  </r>
  <r>
    <s v="ORD003"/>
    <x v="2"/>
    <s v="Amit"/>
    <x v="0"/>
    <x v="0"/>
    <x v="2"/>
    <n v="1"/>
    <n v="1200"/>
    <n v="750"/>
    <n v="0.05"/>
    <x v="0"/>
    <n v="1140"/>
    <n v="750"/>
    <n v="390"/>
    <n v="0.34210000000000002"/>
    <s v="Low Profit"/>
  </r>
  <r>
    <s v="ORD004"/>
    <x v="3"/>
    <s v="Sneha"/>
    <x v="2"/>
    <x v="2"/>
    <x v="3"/>
    <n v="5"/>
    <n v="600"/>
    <n v="480"/>
    <n v="0"/>
    <x v="2"/>
    <n v="3000"/>
    <n v="2400"/>
    <n v="600"/>
    <n v="0.2"/>
    <s v="High Profit"/>
  </r>
  <r>
    <s v="ORD005"/>
    <x v="4"/>
    <s v="Karan"/>
    <x v="3"/>
    <x v="1"/>
    <x v="4"/>
    <n v="2"/>
    <n v="1500"/>
    <n v="900"/>
    <n v="0.15"/>
    <x v="1"/>
    <n v="2550"/>
    <n v="1800"/>
    <n v="750"/>
    <n v="0.29409999999999997"/>
    <s v="High Profit"/>
  </r>
  <r>
    <s v="ORD006"/>
    <x v="5"/>
    <s v="Neha"/>
    <x v="1"/>
    <x v="0"/>
    <x v="5"/>
    <n v="1"/>
    <n v="2000"/>
    <n v="1400"/>
    <n v="0.1"/>
    <x v="0"/>
    <n v="1800"/>
    <n v="1400"/>
    <n v="400"/>
    <n v="0.22220000000000001"/>
    <s v="Low Profit"/>
  </r>
  <r>
    <s v="ORD007"/>
    <x v="6"/>
    <s v="Rohit"/>
    <x v="0"/>
    <x v="2"/>
    <x v="6"/>
    <n v="4"/>
    <n v="700"/>
    <n v="550"/>
    <n v="0.05"/>
    <x v="2"/>
    <n v="2660"/>
    <n v="2200"/>
    <n v="460"/>
    <n v="0.1729"/>
    <s v="Low Profit"/>
  </r>
  <r>
    <s v="ORD008"/>
    <x v="7"/>
    <s v="Pooja"/>
    <x v="2"/>
    <x v="0"/>
    <x v="0"/>
    <n v="3"/>
    <n v="500"/>
    <n v="300"/>
    <n v="0"/>
    <x v="1"/>
    <n v="1500"/>
    <n v="900"/>
    <n v="600"/>
    <n v="0.4"/>
    <s v="High Profit"/>
  </r>
  <r>
    <s v="ORD009"/>
    <x v="8"/>
    <s v="Arjun"/>
    <x v="3"/>
    <x v="1"/>
    <x v="1"/>
    <n v="2"/>
    <n v="800"/>
    <n v="450"/>
    <n v="0.05"/>
    <x v="0"/>
    <n v="1520"/>
    <n v="900"/>
    <n v="620"/>
    <n v="0.40789999999999998"/>
    <s v="High Profit"/>
  </r>
  <r>
    <s v="ORD010"/>
    <x v="9"/>
    <s v="Riya"/>
    <x v="1"/>
    <x v="2"/>
    <x v="3"/>
    <n v="3"/>
    <n v="600"/>
    <n v="480"/>
    <n v="0.1"/>
    <x v="2"/>
    <n v="1620"/>
    <n v="1440"/>
    <n v="180"/>
    <n v="0.1111"/>
    <s v="Low Profit"/>
  </r>
  <r>
    <s v="ORD011"/>
    <x v="10"/>
    <s v="Aditya"/>
    <x v="0"/>
    <x v="0"/>
    <x v="2"/>
    <n v="2"/>
    <n v="1200"/>
    <n v="750"/>
    <n v="0.05"/>
    <x v="1"/>
    <n v="2280"/>
    <n v="1500"/>
    <n v="780"/>
    <n v="0.34210000000000002"/>
    <s v="High Profit"/>
  </r>
  <r>
    <s v="ORD012"/>
    <x v="11"/>
    <s v="Anjali"/>
    <x v="2"/>
    <x v="1"/>
    <x v="4"/>
    <n v="1"/>
    <n v="1500"/>
    <n v="900"/>
    <n v="0.1"/>
    <x v="0"/>
    <n v="1350"/>
    <n v="900"/>
    <n v="450"/>
    <n v="0.33329999999999999"/>
    <s v="Low Profit"/>
  </r>
  <r>
    <s v="ORD013"/>
    <x v="12"/>
    <s v="Vikram"/>
    <x v="3"/>
    <x v="2"/>
    <x v="6"/>
    <n v="6"/>
    <n v="700"/>
    <n v="550"/>
    <n v="0.05"/>
    <x v="2"/>
    <n v="3990"/>
    <n v="3300"/>
    <n v="690"/>
    <n v="0.1729"/>
    <s v="High Profit"/>
  </r>
  <r>
    <s v="ORD014"/>
    <x v="13"/>
    <s v="Simran"/>
    <x v="1"/>
    <x v="0"/>
    <x v="5"/>
    <n v="2"/>
    <n v="2000"/>
    <n v="1400"/>
    <n v="0.15"/>
    <x v="1"/>
    <n v="3400"/>
    <n v="2800"/>
    <n v="600"/>
    <n v="0.17649999999999999"/>
    <s v="High Profit"/>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
  <r>
    <s v="ORD001"/>
    <d v="2026-01-01T00:00:00"/>
    <s v="Rahul"/>
    <s v="West"/>
    <x v="0"/>
    <s v="Mouse"/>
    <n v="2"/>
    <n v="500"/>
    <n v="300"/>
    <n v="0.05"/>
    <s v="UPI"/>
    <n v="950"/>
    <n v="600"/>
    <n v="350"/>
    <n v="0.36840000000000001"/>
    <s v="Low Profit"/>
  </r>
  <r>
    <s v="ORD002"/>
    <d v="2026-01-02T00:00:00"/>
    <s v="Priya"/>
    <s v="South"/>
    <x v="1"/>
    <s v="T-Shirt"/>
    <n v="3"/>
    <n v="800"/>
    <n v="450"/>
    <n v="0.1"/>
    <s v="Card"/>
    <n v="2160"/>
    <n v="1350"/>
    <n v="810"/>
    <n v="0.375"/>
    <s v="High Profit"/>
  </r>
  <r>
    <s v="ORD003"/>
    <d v="2026-01-03T00:00:00"/>
    <s v="Amit"/>
    <s v="West"/>
    <x v="0"/>
    <s v="Keyboard"/>
    <n v="1"/>
    <n v="1200"/>
    <n v="750"/>
    <n v="0.05"/>
    <s v="UPI"/>
    <n v="1140"/>
    <n v="750"/>
    <n v="390"/>
    <n v="0.34210000000000002"/>
    <s v="Low Profit"/>
  </r>
  <r>
    <s v="ORD004"/>
    <d v="2026-01-05T00:00:00"/>
    <s v="Sneha"/>
    <s v="North"/>
    <x v="2"/>
    <s v="Rice"/>
    <n v="5"/>
    <n v="600"/>
    <n v="480"/>
    <n v="0"/>
    <s v="Cash"/>
    <n v="3000"/>
    <n v="2400"/>
    <n v="600"/>
    <n v="0.2"/>
    <s v="High Profit"/>
  </r>
  <r>
    <s v="ORD005"/>
    <d v="2026-01-07T00:00:00"/>
    <s v="Karan"/>
    <s v="East"/>
    <x v="1"/>
    <s v="Jeans"/>
    <n v="2"/>
    <n v="1500"/>
    <n v="900"/>
    <n v="0.15"/>
    <s v="Card"/>
    <n v="2550"/>
    <n v="1800"/>
    <n v="750"/>
    <n v="0.29409999999999997"/>
    <s v="High Profit"/>
  </r>
  <r>
    <s v="ORD006"/>
    <d v="2026-01-10T00:00:00"/>
    <s v="Neha"/>
    <s v="South"/>
    <x v="0"/>
    <s v="Headphones"/>
    <n v="1"/>
    <n v="2000"/>
    <n v="1400"/>
    <n v="0.1"/>
    <s v="UPI"/>
    <n v="1800"/>
    <n v="1400"/>
    <n v="400"/>
    <n v="0.22220000000000001"/>
    <s v="Low Profit"/>
  </r>
  <r>
    <s v="ORD007"/>
    <d v="2026-01-12T00:00:00"/>
    <s v="Rohit"/>
    <s v="West"/>
    <x v="2"/>
    <s v="Oil"/>
    <n v="4"/>
    <n v="700"/>
    <n v="550"/>
    <n v="0.05"/>
    <s v="Cash"/>
    <n v="2660"/>
    <n v="2200"/>
    <n v="460"/>
    <n v="0.1729"/>
    <s v="Low Profit"/>
  </r>
  <r>
    <s v="ORD008"/>
    <d v="2026-01-15T00:00:00"/>
    <s v="Pooja"/>
    <s v="North"/>
    <x v="0"/>
    <s v="Mouse"/>
    <n v="3"/>
    <n v="500"/>
    <n v="300"/>
    <n v="0"/>
    <s v="Card"/>
    <n v="1500"/>
    <n v="900"/>
    <n v="600"/>
    <n v="0.4"/>
    <s v="High Profit"/>
  </r>
  <r>
    <s v="ORD009"/>
    <d v="2026-01-18T00:00:00"/>
    <s v="Arjun"/>
    <s v="East"/>
    <x v="1"/>
    <s v="T-Shirt"/>
    <n v="2"/>
    <n v="800"/>
    <n v="450"/>
    <n v="0.05"/>
    <s v="UPI"/>
    <n v="1520"/>
    <n v="900"/>
    <n v="620"/>
    <n v="0.40789999999999998"/>
    <s v="High Profit"/>
  </r>
  <r>
    <s v="ORD010"/>
    <d v="2026-01-20T00:00:00"/>
    <s v="Riya"/>
    <s v="South"/>
    <x v="2"/>
    <s v="Rice"/>
    <n v="3"/>
    <n v="600"/>
    <n v="480"/>
    <n v="0.1"/>
    <s v="Cash"/>
    <n v="1620"/>
    <n v="1440"/>
    <n v="180"/>
    <n v="0.1111"/>
    <s v="Low Profit"/>
  </r>
  <r>
    <s v="ORD011"/>
    <d v="2026-01-23T00:00:00"/>
    <s v="Aditya"/>
    <s v="West"/>
    <x v="0"/>
    <s v="Keyboard"/>
    <n v="2"/>
    <n v="1200"/>
    <n v="750"/>
    <n v="0.05"/>
    <s v="Card"/>
    <n v="2280"/>
    <n v="1500"/>
    <n v="780"/>
    <n v="0.34210000000000002"/>
    <s v="High Profit"/>
  </r>
  <r>
    <s v="ORD012"/>
    <d v="2026-01-25T00:00:00"/>
    <s v="Anjali"/>
    <s v="North"/>
    <x v="1"/>
    <s v="Jeans"/>
    <n v="1"/>
    <n v="1500"/>
    <n v="900"/>
    <n v="0.1"/>
    <s v="UPI"/>
    <n v="1350"/>
    <n v="900"/>
    <n v="450"/>
    <n v="0.33329999999999999"/>
    <s v="Low Profit"/>
  </r>
  <r>
    <s v="ORD013"/>
    <d v="2026-01-28T00:00:00"/>
    <s v="Vikram"/>
    <s v="East"/>
    <x v="2"/>
    <s v="Oil"/>
    <n v="6"/>
    <n v="700"/>
    <n v="550"/>
    <n v="0.05"/>
    <s v="Cash"/>
    <n v="3990"/>
    <n v="3300"/>
    <n v="690"/>
    <n v="0.1729"/>
    <s v="High Profit"/>
  </r>
  <r>
    <s v="ORD014"/>
    <d v="2026-01-30T00:00:00"/>
    <s v="Simran"/>
    <s v="South"/>
    <x v="0"/>
    <s v="Headphones"/>
    <n v="2"/>
    <n v="2000"/>
    <n v="1400"/>
    <n v="0.15"/>
    <s v="Card"/>
    <n v="3400"/>
    <n v="2800"/>
    <n v="600"/>
    <n v="0.17649999999999999"/>
    <s v="High Profit"/>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AAAA108-16AF-46DD-BFEA-8BBC9CF9D394}" name="PivotTable1"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3">
  <location ref="A3:D11" firstHeaderRow="0" firstDataRow="1" firstDataCol="1" rowPageCount="1" colPageCount="1"/>
  <pivotFields count="16">
    <pivotField dataField="1" showAll="0"/>
    <pivotField numFmtId="14" showAll="0">
      <items count="15">
        <item x="0"/>
        <item x="1"/>
        <item x="2"/>
        <item x="3"/>
        <item x="4"/>
        <item x="5"/>
        <item x="6"/>
        <item x="7"/>
        <item x="8"/>
        <item x="9"/>
        <item x="10"/>
        <item x="11"/>
        <item x="12"/>
        <item x="13"/>
        <item t="default"/>
      </items>
    </pivotField>
    <pivotField showAll="0"/>
    <pivotField axis="axisPage" showAll="0">
      <items count="5">
        <item x="3"/>
        <item x="2"/>
        <item x="1"/>
        <item x="0"/>
        <item t="default"/>
      </items>
    </pivotField>
    <pivotField showAll="0" sortType="descending">
      <items count="4">
        <item x="1"/>
        <item x="0"/>
        <item x="2"/>
        <item t="default"/>
      </items>
      <autoSortScope>
        <pivotArea dataOnly="0" outline="0" fieldPosition="0">
          <references count="1">
            <reference field="4294967294" count="1" selected="0">
              <x v="0"/>
            </reference>
          </references>
        </pivotArea>
      </autoSortScope>
    </pivotField>
    <pivotField axis="axisRow" showAll="0">
      <items count="8">
        <item x="5"/>
        <item x="4"/>
        <item x="2"/>
        <item x="0"/>
        <item x="6"/>
        <item x="3"/>
        <item x="1"/>
        <item t="default"/>
      </items>
    </pivotField>
    <pivotField showAll="0"/>
    <pivotField showAll="0"/>
    <pivotField showAll="0"/>
    <pivotField showAll="0"/>
    <pivotField showAll="0">
      <items count="4">
        <item x="1"/>
        <item x="2"/>
        <item x="0"/>
        <item t="default"/>
      </items>
    </pivotField>
    <pivotField dataField="1" showAll="0"/>
    <pivotField showAll="0"/>
    <pivotField dataField="1" showAll="0"/>
    <pivotField numFmtId="10" showAll="0"/>
    <pivotField showAll="0"/>
  </pivotFields>
  <rowFields count="1">
    <field x="5"/>
  </rowFields>
  <rowItems count="8">
    <i>
      <x/>
    </i>
    <i>
      <x v="1"/>
    </i>
    <i>
      <x v="2"/>
    </i>
    <i>
      <x v="3"/>
    </i>
    <i>
      <x v="4"/>
    </i>
    <i>
      <x v="5"/>
    </i>
    <i>
      <x v="6"/>
    </i>
    <i t="grand">
      <x/>
    </i>
  </rowItems>
  <colFields count="1">
    <field x="-2"/>
  </colFields>
  <colItems count="3">
    <i>
      <x/>
    </i>
    <i i="1">
      <x v="1"/>
    </i>
    <i i="2">
      <x v="2"/>
    </i>
  </colItems>
  <pageFields count="1">
    <pageField fld="3" hier="-1"/>
  </pageFields>
  <dataFields count="3">
    <dataField name="Sum of Profit" fld="13" baseField="0" baseItem="0"/>
    <dataField name="Sum of Sales_Amount" fld="11" baseField="0" baseItem="0"/>
    <dataField name="Count of Order_ID" fld="0" subtotal="count" baseField="0" baseItem="0"/>
  </dataField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D417605-91DC-44DC-A7F3-D93E836AD419}" name="PivotTable13"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4">
  <location ref="A3:B6" firstHeaderRow="1" firstDataRow="1" firstDataCol="1"/>
  <pivotFields count="16">
    <pivotField compact="0" outline="0" showAll="0" defaultSubtotal="0">
      <extLst>
        <ext xmlns:x14="http://schemas.microsoft.com/office/spreadsheetml/2009/9/main" uri="{2946ED86-A175-432a-8AC1-64E0C546D7DE}">
          <x14:pivotField fillDownLabels="1"/>
        </ext>
      </extLst>
    </pivotField>
    <pivotField compact="0" numFmtId="14"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3">
        <item x="1"/>
        <item x="0"/>
        <item x="2"/>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1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s>
  <rowFields count="1">
    <field x="4"/>
  </rowFields>
  <rowItems count="3">
    <i>
      <x/>
    </i>
    <i>
      <x v="1"/>
    </i>
    <i>
      <x v="2"/>
    </i>
  </rowItems>
  <colItems count="1">
    <i/>
  </colItems>
  <dataFields count="1">
    <dataField name="Sum of Sales_Amount" fld="1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E55304C-4AEA-4ECB-845E-52E0431214A5}" name="PivotTable2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18" firstHeaderRow="1" firstDataRow="1" firstDataCol="1"/>
  <pivotFields count="16">
    <pivotField showAll="0"/>
    <pivotField axis="axisRow" numFmtId="14" showAll="0">
      <items count="15">
        <item x="0"/>
        <item x="1"/>
        <item x="2"/>
        <item x="3"/>
        <item x="4"/>
        <item x="5"/>
        <item x="6"/>
        <item x="7"/>
        <item x="8"/>
        <item x="9"/>
        <item x="10"/>
        <item x="11"/>
        <item x="12"/>
        <item x="13"/>
        <item t="default"/>
      </items>
    </pivotField>
    <pivotField showAll="0"/>
    <pivotField showAll="0">
      <items count="5">
        <item x="3"/>
        <item x="2"/>
        <item x="1"/>
        <item x="0"/>
        <item t="default"/>
      </items>
    </pivotField>
    <pivotField showAll="0">
      <items count="4">
        <item x="1"/>
        <item x="0"/>
        <item x="2"/>
        <item t="default"/>
      </items>
    </pivotField>
    <pivotField showAll="0"/>
    <pivotField showAll="0"/>
    <pivotField showAll="0"/>
    <pivotField showAll="0"/>
    <pivotField showAll="0"/>
    <pivotField showAll="0"/>
    <pivotField dataField="1" showAll="0"/>
    <pivotField showAll="0"/>
    <pivotField showAll="0"/>
    <pivotField numFmtId="10" showAll="0"/>
    <pivotField showAll="0"/>
  </pivotFields>
  <rowFields count="1">
    <field x="1"/>
  </rowFields>
  <rowItems count="15">
    <i>
      <x/>
    </i>
    <i>
      <x v="1"/>
    </i>
    <i>
      <x v="2"/>
    </i>
    <i>
      <x v="3"/>
    </i>
    <i>
      <x v="4"/>
    </i>
    <i>
      <x v="5"/>
    </i>
    <i>
      <x v="6"/>
    </i>
    <i>
      <x v="7"/>
    </i>
    <i>
      <x v="8"/>
    </i>
    <i>
      <x v="9"/>
    </i>
    <i>
      <x v="10"/>
    </i>
    <i>
      <x v="11"/>
    </i>
    <i>
      <x v="12"/>
    </i>
    <i>
      <x v="13"/>
    </i>
    <i t="grand">
      <x/>
    </i>
  </rowItems>
  <colItems count="1">
    <i/>
  </colItems>
  <dataFields count="1">
    <dataField name="Sum of Sales_Amount" fld="11" baseField="0" baseItem="0"/>
  </dataFields>
  <chartFormats count="4">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6F193FE1-E00F-4F4A-B3D0-F2FD7F1867D6}" sourceName="Region">
  <pivotTables>
    <pivotTable tabId="3" name="PivotTable1"/>
    <pivotTable tabId="9" name="PivotTable23"/>
  </pivotTables>
  <data>
    <tabular pivotCacheId="2144830203">
      <items count="4">
        <i x="3" s="1"/>
        <i x="2"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4A9D3CFF-4D42-4638-8650-0A95B325B8C3}" sourceName="Category">
  <pivotTables>
    <pivotTable tabId="3" name="PivotTable1"/>
    <pivotTable tabId="9" name="PivotTable23"/>
  </pivotTables>
  <data>
    <tabular pivotCacheId="2144830203">
      <items count="3">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573FD39E-A889-47CA-B38B-E7313EEEEA93}" cache="Slicer_Region" caption="Region" style="SlicerStyleOther2" rowHeight="251883"/>
  <slicer name="Category" xr10:uid="{B19CE0E7-2B7C-4DFF-BE79-6936F55A5FE4}" cache="Slicer_Category" caption="Category" style="SlicerStyleOther2"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DECF3DB-CF71-4A1B-8BC3-5B6293007BA1}" name="Table1" displayName="Table1" ref="A1:P16" totalsRowCount="1" headerRowDxfId="33" dataDxfId="32">
  <autoFilter ref="A1:P15" xr:uid="{2DECF3DB-CF71-4A1B-8BC3-5B6293007BA1}"/>
  <tableColumns count="16">
    <tableColumn id="1" xr3:uid="{2D81F5E8-65B6-47A2-A273-B021C9A7413C}" name="Order_ID" dataDxfId="31" totalsRowDxfId="15"/>
    <tableColumn id="2" xr3:uid="{A3926684-1F59-4359-A347-FFF59B0F5C00}" name="Date" dataDxfId="30" totalsRowDxfId="14"/>
    <tableColumn id="3" xr3:uid="{5294342C-EAF4-4F5D-BD71-63B1104E59F2}" name="Customer" dataDxfId="29" totalsRowDxfId="13"/>
    <tableColumn id="4" xr3:uid="{808481B2-CB5C-4139-AE5B-088286853D58}" name="Region" dataDxfId="28" totalsRowDxfId="12"/>
    <tableColumn id="5" xr3:uid="{95BD46C0-A286-4346-97A6-BD02B41AF1B6}" name="Category" dataDxfId="27" totalsRowDxfId="11"/>
    <tableColumn id="6" xr3:uid="{C066D8E5-5535-4BEF-BDB8-79A9813B6740}" name="Product" dataDxfId="26" totalsRowDxfId="10"/>
    <tableColumn id="7" xr3:uid="{7FC548BE-7242-40B3-8C24-B5D3EF053A1F}" name="Quantity" dataDxfId="25" totalsRowDxfId="9"/>
    <tableColumn id="8" xr3:uid="{2CF60036-5EE6-4212-A834-1FFA587C0728}" name="Unit_Price" dataDxfId="24" totalsRowDxfId="8"/>
    <tableColumn id="9" xr3:uid="{EEC3DE32-708D-486E-8383-9FEBED2AB70D}" name="Cost_Price" dataDxfId="23" totalsRowDxfId="7"/>
    <tableColumn id="10" xr3:uid="{62F4B73F-24BA-4E70-BF74-0700C639BA37}" name="Discount" dataDxfId="22" totalsRowDxfId="6"/>
    <tableColumn id="11" xr3:uid="{4078CA4A-8049-45BB-8C74-A763F4D71FFC}" name="Payment" dataDxfId="21" totalsRowDxfId="5"/>
    <tableColumn id="12" xr3:uid="{650C0B22-331A-44E2-8CD8-845513666CB3}" name="Sales_Amount" totalsRowFunction="custom" dataDxfId="20" totalsRowDxfId="4">
      <totalsRowFormula>SUM(Table1[Sales_Amount])</totalsRowFormula>
    </tableColumn>
    <tableColumn id="13" xr3:uid="{4D5CB88C-679B-4E34-9F76-9F11CF3ED289}" name="Total_Cost" dataDxfId="19" totalsRowDxfId="3"/>
    <tableColumn id="14" xr3:uid="{E331065B-398D-407E-9EA6-3B0011BD3C54}" name="Profit" dataDxfId="18" totalsRowDxfId="2"/>
    <tableColumn id="15" xr3:uid="{6B3E0F99-D54F-4A8D-BFD6-1213AD938468}" name="Profit_Margin" dataDxfId="17" totalsRowDxfId="1"/>
    <tableColumn id="16" xr3:uid="{C3FE18D8-5958-439A-9FBB-643B8127D685}" name="Profit_Category" dataDxfId="16" totalsRow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BF3C86-9265-45DA-97D4-2169D7E9C2B7}">
  <dimension ref="A1:I4"/>
  <sheetViews>
    <sheetView showGridLines="0" tabSelected="1" zoomScale="76" workbookViewId="0">
      <selection activeCell="Q33" sqref="Q33"/>
    </sheetView>
  </sheetViews>
  <sheetFormatPr defaultRowHeight="14.5" x14ac:dyDescent="0.35"/>
  <cols>
    <col min="1" max="1" width="22.26953125" customWidth="1"/>
    <col min="2" max="2" width="27.81640625" customWidth="1"/>
    <col min="3" max="3" width="19" customWidth="1"/>
    <col min="4" max="4" width="9.08984375" customWidth="1"/>
    <col min="5" max="5" width="15.453125" customWidth="1"/>
    <col min="7" max="7" width="22" customWidth="1"/>
  </cols>
  <sheetData>
    <row r="1" spans="1:9" ht="89.5" customHeight="1" x14ac:dyDescent="0.35">
      <c r="B1" s="1"/>
      <c r="E1" s="21" t="s">
        <v>72</v>
      </c>
      <c r="F1" s="21"/>
      <c r="G1" s="21"/>
      <c r="H1" s="21"/>
      <c r="I1" s="21"/>
    </row>
    <row r="2" spans="1:9" ht="14.5" customHeight="1" x14ac:dyDescent="0.35"/>
    <row r="3" spans="1:9" ht="16" customHeight="1" x14ac:dyDescent="0.35">
      <c r="A3" s="15" t="s">
        <v>73</v>
      </c>
      <c r="C3" s="17" t="s">
        <v>74</v>
      </c>
      <c r="E3" s="18" t="s">
        <v>75</v>
      </c>
      <c r="G3" s="18" t="s">
        <v>76</v>
      </c>
    </row>
    <row r="4" spans="1:9" ht="26" x14ac:dyDescent="0.6">
      <c r="A4" s="16">
        <f>GETPIVOTDATA("Sum of Sales_Amount",Sheet1!$A$3)</f>
        <v>29920</v>
      </c>
      <c r="C4" s="16">
        <f>GETPIVOTDATA("Sum of Profit",Sheet1!$A$3)</f>
        <v>7680</v>
      </c>
      <c r="E4" s="19">
        <f>GETPIVOTDATA("Count of Order_ID",Sheet1!$A$3)</f>
        <v>14</v>
      </c>
      <c r="G4" s="20">
        <f>C4/A4</f>
        <v>0.25668449197860965</v>
      </c>
    </row>
  </sheetData>
  <mergeCells count="1">
    <mergeCell ref="E1:I1"/>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0AC131-7AB4-4DB8-A586-87882475C7FD}">
  <dimension ref="A1:H8"/>
  <sheetViews>
    <sheetView workbookViewId="0">
      <selection activeCell="H4" sqref="H4"/>
    </sheetView>
  </sheetViews>
  <sheetFormatPr defaultRowHeight="14.5" x14ac:dyDescent="0.35"/>
  <cols>
    <col min="1" max="1" width="14.81640625" customWidth="1"/>
    <col min="2" max="2" width="20.36328125" customWidth="1"/>
    <col min="8" max="8" width="12.54296875" customWidth="1"/>
    <col min="9" max="9" width="12.6328125" customWidth="1"/>
  </cols>
  <sheetData>
    <row r="1" spans="1:8" ht="29" x14ac:dyDescent="0.35">
      <c r="A1" s="1" t="s">
        <v>5</v>
      </c>
      <c r="B1" s="3" t="s">
        <v>55</v>
      </c>
      <c r="D1" s="1" t="s">
        <v>4</v>
      </c>
      <c r="E1" s="3" t="s">
        <v>63</v>
      </c>
      <c r="F1" s="3" t="s">
        <v>64</v>
      </c>
      <c r="G1" s="3" t="s">
        <v>65</v>
      </c>
      <c r="H1" s="3" t="s">
        <v>66</v>
      </c>
    </row>
    <row r="2" spans="1:8" ht="29" x14ac:dyDescent="0.35">
      <c r="A2" s="4" t="s">
        <v>14</v>
      </c>
      <c r="B2" s="2">
        <v>300</v>
      </c>
      <c r="D2" s="4" t="s">
        <v>13</v>
      </c>
      <c r="E2" s="6">
        <v>11070</v>
      </c>
      <c r="F2" s="2">
        <v>6</v>
      </c>
      <c r="G2" s="6">
        <v>3120</v>
      </c>
      <c r="H2" s="6">
        <v>520</v>
      </c>
    </row>
    <row r="3" spans="1:8" x14ac:dyDescent="0.35">
      <c r="A3" s="4" t="s">
        <v>20</v>
      </c>
      <c r="B3" s="2">
        <v>450</v>
      </c>
      <c r="D3" s="4" t="s">
        <v>19</v>
      </c>
      <c r="E3" s="6">
        <v>7580</v>
      </c>
      <c r="F3" s="2">
        <v>4</v>
      </c>
      <c r="G3" s="6">
        <v>2630</v>
      </c>
      <c r="H3" s="8">
        <v>657.5</v>
      </c>
    </row>
    <row r="4" spans="1:8" x14ac:dyDescent="0.35">
      <c r="A4" s="4" t="s">
        <v>24</v>
      </c>
      <c r="B4" s="2">
        <v>750</v>
      </c>
      <c r="D4" s="4" t="s">
        <v>28</v>
      </c>
      <c r="E4" s="6">
        <v>11270</v>
      </c>
      <c r="F4" s="2">
        <v>4</v>
      </c>
      <c r="G4" s="6">
        <v>1930</v>
      </c>
      <c r="H4" s="8">
        <v>482.5</v>
      </c>
    </row>
    <row r="5" spans="1:8" x14ac:dyDescent="0.35">
      <c r="A5" s="4" t="s">
        <v>29</v>
      </c>
      <c r="B5" s="2">
        <v>480</v>
      </c>
    </row>
    <row r="6" spans="1:8" x14ac:dyDescent="0.35">
      <c r="A6" s="4" t="s">
        <v>34</v>
      </c>
      <c r="B6" s="2">
        <v>900</v>
      </c>
    </row>
    <row r="7" spans="1:8" x14ac:dyDescent="0.35">
      <c r="A7" s="4" t="s">
        <v>37</v>
      </c>
      <c r="B7" s="2">
        <v>1400</v>
      </c>
    </row>
    <row r="8" spans="1:8" x14ac:dyDescent="0.35">
      <c r="A8" s="4" t="s">
        <v>40</v>
      </c>
      <c r="B8" s="2">
        <v>550</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3D24FF-F807-4EE6-A363-2F3754F463D7}">
  <dimension ref="A1:F25"/>
  <sheetViews>
    <sheetView zoomScale="103" workbookViewId="0">
      <selection activeCell="F11" sqref="F11"/>
    </sheetView>
  </sheetViews>
  <sheetFormatPr defaultRowHeight="14.5" x14ac:dyDescent="0.35"/>
  <cols>
    <col min="1" max="1" width="12.54296875" bestFit="1" customWidth="1"/>
    <col min="2" max="2" width="11.6328125" bestFit="1" customWidth="1"/>
    <col min="3" max="3" width="19.1796875" bestFit="1" customWidth="1"/>
    <col min="4" max="5" width="15.90625" bestFit="1" customWidth="1"/>
    <col min="6" max="6" width="17.1796875" customWidth="1"/>
  </cols>
  <sheetData>
    <row r="1" spans="1:6" x14ac:dyDescent="0.35">
      <c r="A1" s="9" t="s">
        <v>3</v>
      </c>
      <c r="B1" t="s">
        <v>77</v>
      </c>
    </row>
    <row r="3" spans="1:6" x14ac:dyDescent="0.35">
      <c r="A3" s="9" t="s">
        <v>67</v>
      </c>
      <c r="B3" t="s">
        <v>70</v>
      </c>
      <c r="C3" t="s">
        <v>69</v>
      </c>
      <c r="D3" t="s">
        <v>71</v>
      </c>
      <c r="E3" s="12" t="s">
        <v>78</v>
      </c>
      <c r="F3" t="s">
        <v>79</v>
      </c>
    </row>
    <row r="4" spans="1:6" x14ac:dyDescent="0.35">
      <c r="A4" s="10" t="s">
        <v>37</v>
      </c>
      <c r="B4" s="14">
        <v>1000</v>
      </c>
      <c r="C4" s="14">
        <v>5200</v>
      </c>
      <c r="D4" s="14">
        <v>2</v>
      </c>
      <c r="E4" s="22">
        <f>GETPIVOTDATA("Sum of Profit",$A$3,"Product","Keyboard")/GETPIVOTDATA("Sum of Sales_Amount",$A$3,"Product","Keyboard")</f>
        <v>0.34210526315789475</v>
      </c>
    </row>
    <row r="5" spans="1:6" x14ac:dyDescent="0.35">
      <c r="A5" s="10" t="s">
        <v>34</v>
      </c>
      <c r="B5" s="14">
        <v>1200</v>
      </c>
      <c r="C5" s="14">
        <v>3900</v>
      </c>
      <c r="D5" s="14">
        <v>2</v>
      </c>
      <c r="E5" s="22">
        <f>GETPIVOTDATA("Sum of Profit",$A$3,"Product","Jeans")/GETPIVOTDATA("Sum of Sales_Amount",$A$3,"Product","Jeans")</f>
        <v>0.30769230769230771</v>
      </c>
    </row>
    <row r="6" spans="1:6" x14ac:dyDescent="0.35">
      <c r="A6" s="10" t="s">
        <v>24</v>
      </c>
      <c r="B6" s="14">
        <v>1170</v>
      </c>
      <c r="C6" s="14">
        <v>3420</v>
      </c>
      <c r="D6" s="14">
        <v>2</v>
      </c>
    </row>
    <row r="7" spans="1:6" x14ac:dyDescent="0.35">
      <c r="A7" s="10" t="s">
        <v>14</v>
      </c>
      <c r="B7" s="14">
        <v>950</v>
      </c>
      <c r="C7" s="14">
        <v>2450</v>
      </c>
      <c r="D7" s="14">
        <v>2</v>
      </c>
    </row>
    <row r="8" spans="1:6" x14ac:dyDescent="0.35">
      <c r="A8" s="10" t="s">
        <v>40</v>
      </c>
      <c r="B8" s="14">
        <v>1150</v>
      </c>
      <c r="C8" s="14">
        <v>6650</v>
      </c>
      <c r="D8" s="14">
        <v>2</v>
      </c>
    </row>
    <row r="9" spans="1:6" x14ac:dyDescent="0.35">
      <c r="A9" s="10" t="s">
        <v>29</v>
      </c>
      <c r="B9" s="14">
        <v>780</v>
      </c>
      <c r="C9" s="14">
        <v>4620</v>
      </c>
      <c r="D9" s="14">
        <v>2</v>
      </c>
      <c r="F9" s="11"/>
    </row>
    <row r="10" spans="1:6" x14ac:dyDescent="0.35">
      <c r="A10" s="10" t="s">
        <v>20</v>
      </c>
      <c r="B10" s="14">
        <v>1430</v>
      </c>
      <c r="C10" s="14">
        <v>3680</v>
      </c>
      <c r="D10" s="14">
        <v>2</v>
      </c>
      <c r="F10" s="11"/>
    </row>
    <row r="11" spans="1:6" x14ac:dyDescent="0.35">
      <c r="A11" s="10" t="s">
        <v>68</v>
      </c>
      <c r="B11" s="14">
        <v>7680</v>
      </c>
      <c r="C11" s="14">
        <v>29920</v>
      </c>
      <c r="D11" s="14">
        <v>14</v>
      </c>
      <c r="F11" s="14">
        <f>GETPIVOTDATA("Sum of Sales_Amount",$A$3)/GETPIVOTDATA("Count of Order_ID",$A$3)</f>
        <v>2137.1428571428573</v>
      </c>
    </row>
    <row r="19" spans="3:4" x14ac:dyDescent="0.35">
      <c r="C19" s="10" t="s">
        <v>37</v>
      </c>
      <c r="D19">
        <v>1000</v>
      </c>
    </row>
    <row r="20" spans="3:4" x14ac:dyDescent="0.35">
      <c r="C20" s="10" t="s">
        <v>34</v>
      </c>
      <c r="D20">
        <v>1200</v>
      </c>
    </row>
    <row r="21" spans="3:4" x14ac:dyDescent="0.35">
      <c r="C21" s="10" t="s">
        <v>24</v>
      </c>
      <c r="D21">
        <v>1170</v>
      </c>
    </row>
    <row r="22" spans="3:4" x14ac:dyDescent="0.35">
      <c r="C22" s="10" t="s">
        <v>14</v>
      </c>
      <c r="D22">
        <v>950</v>
      </c>
    </row>
    <row r="23" spans="3:4" x14ac:dyDescent="0.35">
      <c r="C23" s="10" t="s">
        <v>40</v>
      </c>
      <c r="D23">
        <v>1150</v>
      </c>
    </row>
    <row r="24" spans="3:4" x14ac:dyDescent="0.35">
      <c r="C24" s="10" t="s">
        <v>29</v>
      </c>
      <c r="D24">
        <v>780</v>
      </c>
    </row>
    <row r="25" spans="3:4" x14ac:dyDescent="0.35">
      <c r="C25" s="10" t="s">
        <v>20</v>
      </c>
      <c r="D25">
        <v>1430</v>
      </c>
    </row>
  </sheetData>
  <pageMargins left="0.7" right="0.7" top="0.75" bottom="0.75" header="0.3" footer="0.3"/>
  <pageSetup orientation="portrait" r:id="rId2"/>
  <extLst>
    <ext xmlns:x14="http://schemas.microsoft.com/office/spreadsheetml/2009/9/main" uri="{05C60535-1F16-4fd2-B633-F4F36F0B64E0}">
      <x14:sparklineGroups xmlns:xm="http://schemas.microsoft.com/office/excel/2006/main">
        <x14:sparklineGroup type="column" displayEmptyCellsAs="gap" xr2:uid="{9F250E98-AD6C-4F74-8402-5F49BD179443}">
          <x14:colorSeries rgb="FF00B050"/>
          <x14:colorNegative rgb="FFFF0000"/>
          <x14:colorAxis rgb="FF000000"/>
          <x14:colorMarkers rgb="FF0070C0"/>
          <x14:colorFirst rgb="FFFFC000"/>
          <x14:colorLast rgb="FFFFC000"/>
          <x14:colorHigh rgb="FF00B050"/>
          <x14:colorLow rgb="FFFF0000"/>
          <x14:sparklines>
            <x14:sparkline>
              <xm:f>Sheet1!D3:D3</xm:f>
              <xm:sqref>D11</xm:sqref>
            </x14:sparkline>
          </x14:sparklines>
        </x14:sparklineGroup>
      </x14:sparklineGroup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206167-A125-42F9-8AF0-8D435FFDFF8B}">
  <dimension ref="A3:B6"/>
  <sheetViews>
    <sheetView workbookViewId="0">
      <selection activeCell="A3" sqref="A3"/>
    </sheetView>
  </sheetViews>
  <sheetFormatPr defaultRowHeight="14.5" x14ac:dyDescent="0.35"/>
  <cols>
    <col min="1" max="1" width="10.453125" bestFit="1" customWidth="1"/>
    <col min="2" max="2" width="19.08984375" bestFit="1" customWidth="1"/>
  </cols>
  <sheetData>
    <row r="3" spans="1:2" x14ac:dyDescent="0.35">
      <c r="A3" s="9" t="s">
        <v>4</v>
      </c>
      <c r="B3" t="s">
        <v>69</v>
      </c>
    </row>
    <row r="4" spans="1:2" x14ac:dyDescent="0.35">
      <c r="A4" t="s">
        <v>19</v>
      </c>
      <c r="B4">
        <v>7580</v>
      </c>
    </row>
    <row r="5" spans="1:2" x14ac:dyDescent="0.35">
      <c r="A5" t="s">
        <v>13</v>
      </c>
      <c r="B5">
        <v>11070</v>
      </c>
    </row>
    <row r="6" spans="1:2" x14ac:dyDescent="0.35">
      <c r="A6" t="s">
        <v>28</v>
      </c>
      <c r="B6">
        <v>11270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2E8C7A-048B-4B41-81B2-A149BECA1C0B}">
  <dimension ref="A3:B18"/>
  <sheetViews>
    <sheetView workbookViewId="0">
      <selection activeCell="A4" sqref="A4:B17"/>
    </sheetView>
  </sheetViews>
  <sheetFormatPr defaultRowHeight="14.5" x14ac:dyDescent="0.35"/>
  <cols>
    <col min="1" max="1" width="12.453125" bestFit="1" customWidth="1"/>
    <col min="2" max="2" width="19.08984375" bestFit="1" customWidth="1"/>
  </cols>
  <sheetData>
    <row r="3" spans="1:2" x14ac:dyDescent="0.35">
      <c r="A3" s="9" t="s">
        <v>67</v>
      </c>
      <c r="B3" t="s">
        <v>69</v>
      </c>
    </row>
    <row r="4" spans="1:2" x14ac:dyDescent="0.35">
      <c r="A4" s="13">
        <v>46023</v>
      </c>
      <c r="B4" s="14">
        <v>950</v>
      </c>
    </row>
    <row r="5" spans="1:2" x14ac:dyDescent="0.35">
      <c r="A5" s="13">
        <v>46024</v>
      </c>
      <c r="B5" s="14">
        <v>2160</v>
      </c>
    </row>
    <row r="6" spans="1:2" x14ac:dyDescent="0.35">
      <c r="A6" s="13">
        <v>46025</v>
      </c>
      <c r="B6" s="14">
        <v>1140</v>
      </c>
    </row>
    <row r="7" spans="1:2" x14ac:dyDescent="0.35">
      <c r="A7" s="13">
        <v>46027</v>
      </c>
      <c r="B7" s="14">
        <v>3000</v>
      </c>
    </row>
    <row r="8" spans="1:2" x14ac:dyDescent="0.35">
      <c r="A8" s="13">
        <v>46029</v>
      </c>
      <c r="B8" s="14">
        <v>2550</v>
      </c>
    </row>
    <row r="9" spans="1:2" x14ac:dyDescent="0.35">
      <c r="A9" s="13">
        <v>46032</v>
      </c>
      <c r="B9" s="14">
        <v>1800</v>
      </c>
    </row>
    <row r="10" spans="1:2" x14ac:dyDescent="0.35">
      <c r="A10" s="13">
        <v>46034</v>
      </c>
      <c r="B10" s="14">
        <v>2660</v>
      </c>
    </row>
    <row r="11" spans="1:2" x14ac:dyDescent="0.35">
      <c r="A11" s="13">
        <v>46037</v>
      </c>
      <c r="B11" s="14">
        <v>1500</v>
      </c>
    </row>
    <row r="12" spans="1:2" x14ac:dyDescent="0.35">
      <c r="A12" s="13">
        <v>46040</v>
      </c>
      <c r="B12" s="14">
        <v>1520</v>
      </c>
    </row>
    <row r="13" spans="1:2" x14ac:dyDescent="0.35">
      <c r="A13" s="13">
        <v>46042</v>
      </c>
      <c r="B13" s="14">
        <v>1620</v>
      </c>
    </row>
    <row r="14" spans="1:2" x14ac:dyDescent="0.35">
      <c r="A14" s="13">
        <v>46045</v>
      </c>
      <c r="B14" s="14">
        <v>2280</v>
      </c>
    </row>
    <row r="15" spans="1:2" x14ac:dyDescent="0.35">
      <c r="A15" s="13">
        <v>46047</v>
      </c>
      <c r="B15" s="14">
        <v>1350</v>
      </c>
    </row>
    <row r="16" spans="1:2" x14ac:dyDescent="0.35">
      <c r="A16" s="13">
        <v>46050</v>
      </c>
      <c r="B16" s="14">
        <v>3990</v>
      </c>
    </row>
    <row r="17" spans="1:2" x14ac:dyDescent="0.35">
      <c r="A17" s="13">
        <v>46052</v>
      </c>
      <c r="B17" s="14">
        <v>3400</v>
      </c>
    </row>
    <row r="18" spans="1:2" x14ac:dyDescent="0.35">
      <c r="A18" s="13" t="s">
        <v>68</v>
      </c>
      <c r="B18" s="14">
        <v>29920</v>
      </c>
    </row>
  </sheetData>
  <pageMargins left="0.7" right="0.7" top="0.75" bottom="0.75" header="0.3" footer="0.3"/>
  <pageSetup orientation="portrait"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921C24-7628-4CFD-B51F-552F8C2BA281}">
  <dimension ref="A1:P28"/>
  <sheetViews>
    <sheetView zoomScale="88" workbookViewId="0">
      <selection activeCell="J23" sqref="J23"/>
    </sheetView>
  </sheetViews>
  <sheetFormatPr defaultRowHeight="14.5" x14ac:dyDescent="0.35"/>
  <cols>
    <col min="1" max="1" width="14.26953125" customWidth="1"/>
    <col min="2" max="2" width="13.54296875" customWidth="1"/>
    <col min="3" max="3" width="13.453125" customWidth="1"/>
    <col min="5" max="5" width="13.453125" customWidth="1"/>
    <col min="6" max="6" width="9.6328125" customWidth="1"/>
    <col min="7" max="7" width="10.08984375" customWidth="1"/>
    <col min="8" max="8" width="11.54296875" customWidth="1"/>
    <col min="9" max="9" width="11.90625" customWidth="1"/>
    <col min="10" max="10" width="14.08984375" customWidth="1"/>
    <col min="11" max="11" width="10.26953125" customWidth="1"/>
    <col min="12" max="12" width="14.90625" customWidth="1"/>
    <col min="13" max="13" width="13.26953125" customWidth="1"/>
    <col min="15" max="15" width="14.08984375" customWidth="1"/>
    <col min="16" max="16" width="15.81640625" customWidth="1"/>
    <col min="17" max="17" width="10.453125" customWidth="1"/>
  </cols>
  <sheetData>
    <row r="1" spans="1:16" ht="29" x14ac:dyDescent="0.35">
      <c r="A1" s="1" t="s">
        <v>0</v>
      </c>
      <c r="B1" s="1" t="s">
        <v>1</v>
      </c>
      <c r="C1" s="1" t="s">
        <v>2</v>
      </c>
      <c r="D1" s="1" t="s">
        <v>3</v>
      </c>
      <c r="E1" s="1" t="s">
        <v>4</v>
      </c>
      <c r="F1" s="1" t="s">
        <v>5</v>
      </c>
      <c r="G1" s="3" t="s">
        <v>6</v>
      </c>
      <c r="H1" s="3" t="s">
        <v>7</v>
      </c>
      <c r="I1" s="3" t="s">
        <v>55</v>
      </c>
      <c r="J1" s="3" t="s">
        <v>8</v>
      </c>
      <c r="K1" s="1" t="s">
        <v>9</v>
      </c>
      <c r="L1" s="3" t="s">
        <v>56</v>
      </c>
      <c r="M1" s="3" t="s">
        <v>57</v>
      </c>
      <c r="N1" s="3" t="s">
        <v>58</v>
      </c>
      <c r="O1" s="3" t="s">
        <v>59</v>
      </c>
      <c r="P1" s="1" t="s">
        <v>60</v>
      </c>
    </row>
    <row r="2" spans="1:16" x14ac:dyDescent="0.35">
      <c r="A2" s="4" t="s">
        <v>10</v>
      </c>
      <c r="B2" s="5">
        <v>46023</v>
      </c>
      <c r="C2" s="4" t="s">
        <v>11</v>
      </c>
      <c r="D2" s="4" t="s">
        <v>12</v>
      </c>
      <c r="E2" s="4" t="s">
        <v>13</v>
      </c>
      <c r="F2" s="4" t="s">
        <v>14</v>
      </c>
      <c r="G2" s="2">
        <v>2</v>
      </c>
      <c r="H2" s="2">
        <v>500</v>
      </c>
      <c r="I2" s="2">
        <v>300</v>
      </c>
      <c r="J2" s="2">
        <v>0.05</v>
      </c>
      <c r="K2" s="4" t="s">
        <v>15</v>
      </c>
      <c r="L2" s="2">
        <v>950</v>
      </c>
      <c r="M2" s="2">
        <v>600</v>
      </c>
      <c r="N2" s="2">
        <v>350</v>
      </c>
      <c r="O2" s="7">
        <v>0.36840000000000001</v>
      </c>
      <c r="P2" s="4" t="s">
        <v>61</v>
      </c>
    </row>
    <row r="3" spans="1:16" ht="29" x14ac:dyDescent="0.35">
      <c r="A3" s="4" t="s">
        <v>16</v>
      </c>
      <c r="B3" s="5">
        <v>46024</v>
      </c>
      <c r="C3" s="4" t="s">
        <v>17</v>
      </c>
      <c r="D3" s="4" t="s">
        <v>18</v>
      </c>
      <c r="E3" s="4" t="s">
        <v>19</v>
      </c>
      <c r="F3" s="4" t="s">
        <v>20</v>
      </c>
      <c r="G3" s="2">
        <v>3</v>
      </c>
      <c r="H3" s="2">
        <v>800</v>
      </c>
      <c r="I3" s="2">
        <v>450</v>
      </c>
      <c r="J3" s="2">
        <v>0.1</v>
      </c>
      <c r="K3" s="4" t="s">
        <v>21</v>
      </c>
      <c r="L3" s="2">
        <v>2160</v>
      </c>
      <c r="M3" s="2">
        <v>1350</v>
      </c>
      <c r="N3" s="2">
        <v>810</v>
      </c>
      <c r="O3" s="7">
        <v>0.375</v>
      </c>
      <c r="P3" s="4" t="s">
        <v>62</v>
      </c>
    </row>
    <row r="4" spans="1:16" x14ac:dyDescent="0.35">
      <c r="A4" s="4" t="s">
        <v>22</v>
      </c>
      <c r="B4" s="5">
        <v>46025</v>
      </c>
      <c r="C4" s="4" t="s">
        <v>23</v>
      </c>
      <c r="D4" s="4" t="s">
        <v>12</v>
      </c>
      <c r="E4" s="4" t="s">
        <v>13</v>
      </c>
      <c r="F4" s="4" t="s">
        <v>24</v>
      </c>
      <c r="G4" s="2">
        <v>1</v>
      </c>
      <c r="H4" s="2">
        <v>1200</v>
      </c>
      <c r="I4" s="2">
        <v>750</v>
      </c>
      <c r="J4" s="2">
        <v>0.05</v>
      </c>
      <c r="K4" s="4" t="s">
        <v>15</v>
      </c>
      <c r="L4" s="2">
        <v>1140</v>
      </c>
      <c r="M4" s="2">
        <v>750</v>
      </c>
      <c r="N4" s="2">
        <v>390</v>
      </c>
      <c r="O4" s="7">
        <v>0.34210000000000002</v>
      </c>
      <c r="P4" s="4" t="s">
        <v>61</v>
      </c>
    </row>
    <row r="5" spans="1:16" ht="29" x14ac:dyDescent="0.35">
      <c r="A5" s="4" t="s">
        <v>25</v>
      </c>
      <c r="B5" s="5">
        <v>46027</v>
      </c>
      <c r="C5" s="4" t="s">
        <v>26</v>
      </c>
      <c r="D5" s="4" t="s">
        <v>27</v>
      </c>
      <c r="E5" s="4" t="s">
        <v>28</v>
      </c>
      <c r="F5" s="4" t="s">
        <v>29</v>
      </c>
      <c r="G5" s="2">
        <v>5</v>
      </c>
      <c r="H5" s="2">
        <v>600</v>
      </c>
      <c r="I5" s="2">
        <v>480</v>
      </c>
      <c r="J5" s="2">
        <v>0</v>
      </c>
      <c r="K5" s="4" t="s">
        <v>30</v>
      </c>
      <c r="L5" s="2">
        <v>3000</v>
      </c>
      <c r="M5" s="2">
        <v>2400</v>
      </c>
      <c r="N5" s="2">
        <v>600</v>
      </c>
      <c r="O5" s="7">
        <v>0.2</v>
      </c>
      <c r="P5" s="4" t="s">
        <v>62</v>
      </c>
    </row>
    <row r="6" spans="1:16" ht="29" x14ac:dyDescent="0.35">
      <c r="A6" s="4" t="s">
        <v>31</v>
      </c>
      <c r="B6" s="5">
        <v>46029</v>
      </c>
      <c r="C6" s="4" t="s">
        <v>32</v>
      </c>
      <c r="D6" s="4" t="s">
        <v>33</v>
      </c>
      <c r="E6" s="4" t="s">
        <v>19</v>
      </c>
      <c r="F6" s="4" t="s">
        <v>34</v>
      </c>
      <c r="G6" s="2">
        <v>2</v>
      </c>
      <c r="H6" s="2">
        <v>1500</v>
      </c>
      <c r="I6" s="2">
        <v>900</v>
      </c>
      <c r="J6" s="2">
        <v>0.15</v>
      </c>
      <c r="K6" s="4" t="s">
        <v>21</v>
      </c>
      <c r="L6" s="2">
        <v>2550</v>
      </c>
      <c r="M6" s="2">
        <v>1800</v>
      </c>
      <c r="N6" s="2">
        <v>750</v>
      </c>
      <c r="O6" s="7">
        <v>0.29409999999999997</v>
      </c>
      <c r="P6" s="4" t="s">
        <v>62</v>
      </c>
    </row>
    <row r="7" spans="1:16" ht="29" x14ac:dyDescent="0.35">
      <c r="A7" s="4" t="s">
        <v>35</v>
      </c>
      <c r="B7" s="5">
        <v>46032</v>
      </c>
      <c r="C7" s="4" t="s">
        <v>36</v>
      </c>
      <c r="D7" s="4" t="s">
        <v>18</v>
      </c>
      <c r="E7" s="4" t="s">
        <v>13</v>
      </c>
      <c r="F7" s="4" t="s">
        <v>37</v>
      </c>
      <c r="G7" s="2">
        <v>1</v>
      </c>
      <c r="H7" s="2">
        <v>9</v>
      </c>
      <c r="I7" s="2">
        <v>1400</v>
      </c>
      <c r="J7" s="2">
        <v>0.1</v>
      </c>
      <c r="K7" s="4" t="s">
        <v>15</v>
      </c>
      <c r="L7" s="2">
        <v>1800</v>
      </c>
      <c r="M7" s="2">
        <v>1400</v>
      </c>
      <c r="N7" s="2">
        <v>400</v>
      </c>
      <c r="O7" s="7">
        <v>0.22220000000000001</v>
      </c>
      <c r="P7" s="4" t="s">
        <v>61</v>
      </c>
    </row>
    <row r="8" spans="1:16" x14ac:dyDescent="0.35">
      <c r="A8" s="4" t="s">
        <v>38</v>
      </c>
      <c r="B8" s="5">
        <v>46034</v>
      </c>
      <c r="C8" s="4" t="s">
        <v>39</v>
      </c>
      <c r="D8" s="4" t="s">
        <v>12</v>
      </c>
      <c r="E8" s="4" t="s">
        <v>28</v>
      </c>
      <c r="F8" s="4" t="s">
        <v>40</v>
      </c>
      <c r="G8" s="2">
        <v>4</v>
      </c>
      <c r="H8" s="2">
        <v>700</v>
      </c>
      <c r="I8" s="2">
        <v>550</v>
      </c>
      <c r="J8" s="2">
        <v>0.05</v>
      </c>
      <c r="K8" s="4" t="s">
        <v>30</v>
      </c>
      <c r="L8" s="2">
        <v>2660</v>
      </c>
      <c r="M8" s="2">
        <v>2200</v>
      </c>
      <c r="N8" s="2">
        <v>460</v>
      </c>
      <c r="O8" s="7">
        <v>0.1729</v>
      </c>
      <c r="P8" s="4" t="s">
        <v>61</v>
      </c>
    </row>
    <row r="9" spans="1:16" ht="29" x14ac:dyDescent="0.35">
      <c r="A9" s="4" t="s">
        <v>41</v>
      </c>
      <c r="B9" s="5">
        <v>46037</v>
      </c>
      <c r="C9" s="4" t="s">
        <v>42</v>
      </c>
      <c r="D9" s="4" t="s">
        <v>27</v>
      </c>
      <c r="E9" s="4" t="s">
        <v>13</v>
      </c>
      <c r="F9" s="4" t="s">
        <v>14</v>
      </c>
      <c r="G9" s="2">
        <v>3</v>
      </c>
      <c r="H9" s="2">
        <v>500</v>
      </c>
      <c r="I9" s="2">
        <v>300</v>
      </c>
      <c r="J9" s="2">
        <v>0</v>
      </c>
      <c r="K9" s="4" t="s">
        <v>21</v>
      </c>
      <c r="L9" s="2">
        <v>1500</v>
      </c>
      <c r="M9" s="2">
        <v>900</v>
      </c>
      <c r="N9" s="2">
        <v>600</v>
      </c>
      <c r="O9" s="7">
        <v>0.4</v>
      </c>
      <c r="P9" s="4" t="s">
        <v>62</v>
      </c>
    </row>
    <row r="10" spans="1:16" ht="29" x14ac:dyDescent="0.35">
      <c r="A10" s="4" t="s">
        <v>43</v>
      </c>
      <c r="B10" s="5">
        <v>46040</v>
      </c>
      <c r="C10" s="4" t="s">
        <v>44</v>
      </c>
      <c r="D10" s="4" t="s">
        <v>33</v>
      </c>
      <c r="E10" s="4" t="s">
        <v>19</v>
      </c>
      <c r="F10" s="4" t="s">
        <v>20</v>
      </c>
      <c r="G10" s="2">
        <v>2</v>
      </c>
      <c r="H10" s="2">
        <v>800</v>
      </c>
      <c r="I10" s="2">
        <v>450</v>
      </c>
      <c r="J10" s="2">
        <v>0.05</v>
      </c>
      <c r="K10" s="4" t="s">
        <v>15</v>
      </c>
      <c r="L10" s="2">
        <v>1520</v>
      </c>
      <c r="M10" s="2">
        <v>900</v>
      </c>
      <c r="N10" s="2">
        <v>620</v>
      </c>
      <c r="O10" s="7">
        <v>0.40789999999999998</v>
      </c>
      <c r="P10" s="4" t="s">
        <v>62</v>
      </c>
    </row>
    <row r="11" spans="1:16" x14ac:dyDescent="0.35">
      <c r="A11" s="4" t="s">
        <v>45</v>
      </c>
      <c r="B11" s="5">
        <v>46042</v>
      </c>
      <c r="C11" s="4" t="s">
        <v>46</v>
      </c>
      <c r="D11" s="4" t="s">
        <v>18</v>
      </c>
      <c r="E11" s="4" t="s">
        <v>28</v>
      </c>
      <c r="F11" s="4" t="s">
        <v>29</v>
      </c>
      <c r="G11" s="2">
        <v>3</v>
      </c>
      <c r="H11" s="2">
        <v>600</v>
      </c>
      <c r="I11" s="2">
        <v>480</v>
      </c>
      <c r="J11" s="2">
        <v>0.1</v>
      </c>
      <c r="K11" s="4" t="s">
        <v>30</v>
      </c>
      <c r="L11" s="2">
        <v>1620</v>
      </c>
      <c r="M11" s="2">
        <v>1440</v>
      </c>
      <c r="N11" s="2">
        <v>180</v>
      </c>
      <c r="O11" s="7">
        <v>0.1111</v>
      </c>
      <c r="P11" s="4" t="s">
        <v>61</v>
      </c>
    </row>
    <row r="12" spans="1:16" ht="29" x14ac:dyDescent="0.35">
      <c r="A12" s="4" t="s">
        <v>47</v>
      </c>
      <c r="B12" s="5">
        <v>46045</v>
      </c>
      <c r="C12" s="4" t="s">
        <v>48</v>
      </c>
      <c r="D12" s="4" t="s">
        <v>12</v>
      </c>
      <c r="E12" s="4" t="s">
        <v>13</v>
      </c>
      <c r="F12" s="4" t="s">
        <v>24</v>
      </c>
      <c r="G12" s="2">
        <v>2</v>
      </c>
      <c r="H12" s="2">
        <v>1200</v>
      </c>
      <c r="I12" s="2">
        <v>750</v>
      </c>
      <c r="J12" s="2">
        <v>0.05</v>
      </c>
      <c r="K12" s="4" t="s">
        <v>21</v>
      </c>
      <c r="L12" s="2">
        <v>2280</v>
      </c>
      <c r="M12" s="2">
        <v>1500</v>
      </c>
      <c r="N12" s="2">
        <v>780</v>
      </c>
      <c r="O12" s="7">
        <v>0.34210000000000002</v>
      </c>
      <c r="P12" s="4" t="s">
        <v>62</v>
      </c>
    </row>
    <row r="13" spans="1:16" x14ac:dyDescent="0.35">
      <c r="A13" s="4" t="s">
        <v>49</v>
      </c>
      <c r="B13" s="5">
        <v>46047</v>
      </c>
      <c r="C13" s="4" t="s">
        <v>50</v>
      </c>
      <c r="D13" s="4" t="s">
        <v>27</v>
      </c>
      <c r="E13" s="4" t="s">
        <v>19</v>
      </c>
      <c r="F13" s="4" t="s">
        <v>34</v>
      </c>
      <c r="G13" s="2">
        <v>1</v>
      </c>
      <c r="H13" s="2">
        <v>1500</v>
      </c>
      <c r="I13" s="2">
        <v>900</v>
      </c>
      <c r="J13" s="2">
        <v>0.1</v>
      </c>
      <c r="K13" s="4" t="s">
        <v>15</v>
      </c>
      <c r="L13" s="2">
        <v>1350</v>
      </c>
      <c r="M13" s="2">
        <v>900</v>
      </c>
      <c r="N13" s="2">
        <v>450</v>
      </c>
      <c r="O13" s="7">
        <v>0.33329999999999999</v>
      </c>
      <c r="P13" s="4" t="s">
        <v>61</v>
      </c>
    </row>
    <row r="14" spans="1:16" ht="29" x14ac:dyDescent="0.35">
      <c r="A14" s="4" t="s">
        <v>51</v>
      </c>
      <c r="B14" s="5">
        <v>46050</v>
      </c>
      <c r="C14" s="4" t="s">
        <v>52</v>
      </c>
      <c r="D14" s="4" t="s">
        <v>33</v>
      </c>
      <c r="E14" s="4" t="s">
        <v>28</v>
      </c>
      <c r="F14" s="4" t="s">
        <v>40</v>
      </c>
      <c r="G14" s="2">
        <v>6</v>
      </c>
      <c r="H14" s="2">
        <v>700</v>
      </c>
      <c r="I14" s="2">
        <v>550</v>
      </c>
      <c r="J14" s="2">
        <v>0.05</v>
      </c>
      <c r="K14" s="4" t="s">
        <v>30</v>
      </c>
      <c r="L14" s="2">
        <v>3990</v>
      </c>
      <c r="M14" s="2">
        <v>3300</v>
      </c>
      <c r="N14" s="2">
        <v>690</v>
      </c>
      <c r="O14" s="7">
        <v>0.1729</v>
      </c>
      <c r="P14" s="4" t="s">
        <v>62</v>
      </c>
    </row>
    <row r="15" spans="1:16" ht="29" x14ac:dyDescent="0.35">
      <c r="A15" s="4" t="s">
        <v>53</v>
      </c>
      <c r="B15" s="5">
        <v>46052</v>
      </c>
      <c r="C15" s="4" t="s">
        <v>54</v>
      </c>
      <c r="D15" s="4" t="s">
        <v>18</v>
      </c>
      <c r="E15" s="4" t="s">
        <v>13</v>
      </c>
      <c r="F15" s="4" t="s">
        <v>37</v>
      </c>
      <c r="G15" s="2">
        <v>2</v>
      </c>
      <c r="H15" s="2">
        <v>2000</v>
      </c>
      <c r="I15" s="2">
        <v>1400</v>
      </c>
      <c r="J15" s="2">
        <v>0.15</v>
      </c>
      <c r="K15" s="4" t="s">
        <v>21</v>
      </c>
      <c r="L15" s="2">
        <v>3400</v>
      </c>
      <c r="M15" s="2">
        <v>2800</v>
      </c>
      <c r="N15" s="2">
        <v>600</v>
      </c>
      <c r="O15" s="7">
        <v>0.17649999999999999</v>
      </c>
      <c r="P15" s="4" t="s">
        <v>62</v>
      </c>
    </row>
    <row r="16" spans="1:16" x14ac:dyDescent="0.35">
      <c r="A16" s="4"/>
      <c r="B16" s="5"/>
      <c r="C16" s="4"/>
      <c r="D16" s="4"/>
      <c r="E16" s="4"/>
      <c r="F16" s="4"/>
      <c r="G16" s="2"/>
      <c r="H16" s="2"/>
      <c r="I16" s="2"/>
      <c r="J16" s="2"/>
      <c r="K16" s="4"/>
      <c r="L16" s="2">
        <f>SUM(Table1[Sales_Amount])</f>
        <v>29920</v>
      </c>
      <c r="M16" s="2"/>
      <c r="N16" s="2"/>
      <c r="O16" s="7"/>
      <c r="P16" s="4"/>
    </row>
    <row r="21" spans="6:8" x14ac:dyDescent="0.35">
      <c r="F21" s="1"/>
      <c r="G21" s="3"/>
      <c r="H21" s="3"/>
    </row>
    <row r="22" spans="6:8" x14ac:dyDescent="0.35">
      <c r="F22" s="4"/>
      <c r="G22" s="6"/>
    </row>
    <row r="23" spans="6:8" x14ac:dyDescent="0.35">
      <c r="F23" s="4"/>
      <c r="G23" s="6"/>
    </row>
    <row r="24" spans="6:8" x14ac:dyDescent="0.35">
      <c r="F24" s="4"/>
      <c r="G24" s="6"/>
    </row>
    <row r="25" spans="6:8" x14ac:dyDescent="0.35">
      <c r="F25" s="4"/>
      <c r="G25" s="6"/>
    </row>
    <row r="26" spans="6:8" x14ac:dyDescent="0.35">
      <c r="F26" s="4"/>
      <c r="G26" s="6"/>
    </row>
    <row r="27" spans="6:8" x14ac:dyDescent="0.35">
      <c r="F27" s="4"/>
      <c r="G27" s="6"/>
    </row>
    <row r="28" spans="6:8" x14ac:dyDescent="0.35">
      <c r="F28" s="4"/>
      <c r="G28" s="6"/>
    </row>
  </sheetData>
  <pageMargins left="1" right="1" top="1" bottom="1" header="0.5" footer="0.5"/>
  <pageSetup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Dashboard</vt:lpstr>
      <vt:lpstr>Analysis</vt:lpstr>
      <vt:lpstr>Sheet1</vt:lpstr>
      <vt:lpstr>Sheet3</vt:lpstr>
      <vt:lpstr>Sheet5</vt:lpstr>
      <vt:lpstr>sales_data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atharva dinnapurkar</dc:creator>
  <cp:lastModifiedBy>atharva dinnapurkar</cp:lastModifiedBy>
  <dcterms:created xsi:type="dcterms:W3CDTF">2026-09-30T08:56:38Z</dcterms:created>
  <dcterms:modified xsi:type="dcterms:W3CDTF">2026-10-10T18:09:52Z</dcterms:modified>
</cp:coreProperties>
</file>